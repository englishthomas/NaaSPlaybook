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_var\Desktop\Nueva carpeta\"/>
    </mc:Choice>
  </mc:AlternateContent>
  <xr:revisionPtr revIDLastSave="0" documentId="13_ncr:1_{EADCC91D-D5AC-4FE4-AC60-8DC6015F763B}" xr6:coauthVersionLast="45" xr6:coauthVersionMax="45" xr10:uidLastSave="{00000000-0000-0000-0000-000000000000}"/>
  <bookViews>
    <workbookView xWindow="-120" yWindow="480" windowWidth="24240" windowHeight="13140" xr2:uid="{5FF3B145-B1E2-45A4-AF63-966C7F13F3D0}"/>
  </bookViews>
  <sheets>
    <sheet name="ARIMA GUI" sheetId="1" r:id="rId1"/>
    <sheet name="ARIMA Formulas" sheetId="5" state="hidden" r:id="rId2"/>
  </sheets>
  <definedNames>
    <definedName name="solver_adj" localSheetId="1" hidden="1">'ARIMA Formulas'!$G$1:$G$21</definedName>
    <definedName name="solver_adj" localSheetId="0" hidden="1">'ARIMA GUI'!#REF!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2</definedName>
    <definedName name="solver_neg" localSheetId="0" hidden="1">2</definedName>
    <definedName name="solver_nod" localSheetId="1" hidden="1">2147483647</definedName>
    <definedName name="solver_nod" localSheetId="0" hidden="1">2147483647</definedName>
    <definedName name="solver_num" localSheetId="1" hidden="1">0</definedName>
    <definedName name="solver_num" localSheetId="0" hidden="1">0</definedName>
    <definedName name="solver_nwt" localSheetId="1" hidden="1">1</definedName>
    <definedName name="solver_nwt" localSheetId="0" hidden="1">1</definedName>
    <definedName name="solver_opt" localSheetId="1" hidden="1">'ARIMA Formulas'!$K$12</definedName>
    <definedName name="solver_opt" localSheetId="0" hidden="1">'ARIMA GUI'!#REF!</definedName>
    <definedName name="solver_pre" localSheetId="1" hidden="1">0.000001</definedName>
    <definedName name="solver_pre" localSheetId="0" hidden="1">0.000001</definedName>
    <definedName name="solver_rbv" localSheetId="1" hidden="1">1</definedName>
    <definedName name="solver_rbv" localSheetId="0" hidden="1">1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1</definedName>
    <definedName name="solver_scl" localSheetId="0" hidden="1">1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4" i="5" l="1"/>
  <c r="H37" i="5"/>
  <c r="H36" i="5"/>
  <c r="H35" i="5"/>
  <c r="H34" i="5"/>
  <c r="H33" i="5"/>
  <c r="H32" i="5"/>
  <c r="H31" i="5"/>
  <c r="H30" i="5"/>
  <c r="H29" i="5"/>
  <c r="H28" i="5"/>
  <c r="H26" i="5"/>
  <c r="H25" i="5"/>
  <c r="H70" i="5"/>
  <c r="H71" i="5"/>
  <c r="C33" i="5" l="1"/>
  <c r="C34" i="5" s="1"/>
  <c r="C35" i="5" s="1"/>
  <c r="C36" i="5" s="1"/>
  <c r="C32" i="5"/>
  <c r="C31" i="5"/>
  <c r="K11" i="5"/>
  <c r="C24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L3" i="5"/>
  <c r="L2" i="5"/>
  <c r="L1" i="5"/>
  <c r="P31" i="5" l="1"/>
  <c r="K25" i="5"/>
  <c r="E24" i="5"/>
  <c r="F24" i="5" s="1"/>
  <c r="G24" i="5" s="1"/>
  <c r="L25" i="5"/>
  <c r="C25" i="5"/>
  <c r="E25" i="5" l="1"/>
  <c r="F25" i="5" s="1"/>
  <c r="G25" i="5" s="1"/>
  <c r="K26" i="5"/>
  <c r="M26" i="5"/>
  <c r="L26" i="5"/>
  <c r="C26" i="5"/>
  <c r="E26" i="5" l="1"/>
  <c r="F26" i="5" s="1"/>
  <c r="G26" i="5" s="1"/>
  <c r="C27" i="5"/>
  <c r="M27" i="5"/>
  <c r="N27" i="5" l="1"/>
  <c r="K27" i="5"/>
  <c r="C28" i="5"/>
  <c r="H27" i="5"/>
  <c r="L28" i="5" s="1"/>
  <c r="L27" i="5"/>
  <c r="E27" i="5" l="1"/>
  <c r="F27" i="5" s="1"/>
  <c r="G27" i="5" s="1"/>
  <c r="K28" i="5"/>
  <c r="C29" i="5"/>
  <c r="N29" i="5"/>
  <c r="K29" i="5"/>
  <c r="N28" i="5"/>
  <c r="M28" i="5"/>
  <c r="O28" i="5"/>
  <c r="E28" i="5" l="1"/>
  <c r="F28" i="5" s="1"/>
  <c r="G28" i="5" s="1"/>
  <c r="L29" i="5"/>
  <c r="P29" i="5"/>
  <c r="O29" i="5"/>
  <c r="M29" i="5"/>
  <c r="O30" i="5"/>
  <c r="C30" i="5"/>
  <c r="L30" i="5"/>
  <c r="E29" i="5" l="1"/>
  <c r="F29" i="5" s="1"/>
  <c r="G29" i="5" s="1"/>
  <c r="Q31" i="5"/>
  <c r="M30" i="5"/>
  <c r="Q30" i="5"/>
  <c r="P30" i="5"/>
  <c r="N30" i="5"/>
  <c r="K30" i="5"/>
  <c r="E30" i="5" l="1"/>
  <c r="F30" i="5" s="1"/>
  <c r="G30" i="5" s="1"/>
  <c r="N31" i="5"/>
  <c r="K31" i="5"/>
  <c r="O31" i="5"/>
  <c r="L31" i="5"/>
  <c r="R32" i="5"/>
  <c r="R31" i="5"/>
  <c r="M31" i="5"/>
  <c r="E31" i="5" l="1"/>
  <c r="F31" i="5" s="1"/>
  <c r="G31" i="5" s="1"/>
  <c r="S32" i="5"/>
  <c r="Q32" i="5"/>
  <c r="L32" i="5"/>
  <c r="P32" i="5"/>
  <c r="K32" i="5"/>
  <c r="O32" i="5"/>
  <c r="M32" i="5"/>
  <c r="T33" i="5"/>
  <c r="Q33" i="5"/>
  <c r="N32" i="5"/>
  <c r="M33" i="5" l="1"/>
  <c r="O33" i="5"/>
  <c r="E32" i="5"/>
  <c r="F32" i="5" s="1"/>
  <c r="G32" i="5" s="1"/>
  <c r="R33" i="5"/>
  <c r="K33" i="5"/>
  <c r="S33" i="5"/>
  <c r="N33" i="5"/>
  <c r="S34" i="5"/>
  <c r="L33" i="5"/>
  <c r="P33" i="5"/>
  <c r="R34" i="5" l="1"/>
  <c r="E33" i="5"/>
  <c r="F33" i="5" s="1"/>
  <c r="G33" i="5" s="1"/>
  <c r="P34" i="5"/>
  <c r="R35" i="5"/>
  <c r="M34" i="5"/>
  <c r="Q34" i="5"/>
  <c r="N34" i="5"/>
  <c r="L34" i="5"/>
  <c r="T34" i="5"/>
  <c r="K34" i="5"/>
  <c r="O34" i="5"/>
  <c r="E34" i="5" l="1"/>
  <c r="F34" i="5" s="1"/>
  <c r="G34" i="5" s="1"/>
  <c r="S35" i="5"/>
  <c r="Q35" i="5"/>
  <c r="L35" i="5"/>
  <c r="P35" i="5"/>
  <c r="T35" i="5"/>
  <c r="O35" i="5"/>
  <c r="K35" i="5"/>
  <c r="M35" i="5"/>
  <c r="Q36" i="5"/>
  <c r="P36" i="5"/>
  <c r="N35" i="5"/>
  <c r="T36" i="5" l="1"/>
  <c r="N36" i="5"/>
  <c r="E35" i="5"/>
  <c r="F35" i="5" s="1"/>
  <c r="G35" i="5" s="1"/>
  <c r="L36" i="5"/>
  <c r="R36" i="5"/>
  <c r="K36" i="5"/>
  <c r="S36" i="5"/>
  <c r="O36" i="5"/>
  <c r="C37" i="5"/>
  <c r="T37" i="5"/>
  <c r="M36" i="5"/>
  <c r="Q37" i="5" l="1"/>
  <c r="E36" i="5"/>
  <c r="F36" i="5" s="1"/>
  <c r="G36" i="5" s="1"/>
  <c r="O37" i="5"/>
  <c r="Q38" i="5"/>
  <c r="C38" i="5"/>
  <c r="N37" i="5"/>
  <c r="R37" i="5"/>
  <c r="M37" i="5"/>
  <c r="K37" i="5"/>
  <c r="S37" i="5"/>
  <c r="L37" i="5"/>
  <c r="P37" i="5"/>
  <c r="L38" i="5" l="1"/>
  <c r="R38" i="5"/>
  <c r="N38" i="5"/>
  <c r="P38" i="5"/>
  <c r="E37" i="5"/>
  <c r="F37" i="5" s="1"/>
  <c r="G37" i="5" s="1"/>
  <c r="T38" i="5"/>
  <c r="K38" i="5"/>
  <c r="S38" i="5"/>
  <c r="O38" i="5"/>
  <c r="C39" i="5"/>
  <c r="H38" i="5"/>
  <c r="R39" i="5" s="1"/>
  <c r="M38" i="5"/>
  <c r="K39" i="5" l="1"/>
  <c r="E38" i="5"/>
  <c r="F38" i="5" s="1"/>
  <c r="G38" i="5" s="1"/>
  <c r="Q39" i="5"/>
  <c r="L39" i="5"/>
  <c r="T39" i="5"/>
  <c r="O39" i="5"/>
  <c r="P39" i="5"/>
  <c r="S39" i="5"/>
  <c r="M39" i="5"/>
  <c r="H39" i="5"/>
  <c r="Q40" i="5" s="1"/>
  <c r="C40" i="5"/>
  <c r="P40" i="5"/>
  <c r="T40" i="5"/>
  <c r="L40" i="5"/>
  <c r="N39" i="5"/>
  <c r="N40" i="5" l="1"/>
  <c r="E39" i="5"/>
  <c r="F39" i="5" s="1"/>
  <c r="G39" i="5" s="1"/>
  <c r="R40" i="5"/>
  <c r="K40" i="5"/>
  <c r="S40" i="5"/>
  <c r="O40" i="5"/>
  <c r="C41" i="5"/>
  <c r="H40" i="5"/>
  <c r="T41" i="5" s="1"/>
  <c r="M41" i="5"/>
  <c r="M40" i="5"/>
  <c r="E40" i="5" l="1"/>
  <c r="F40" i="5" s="1"/>
  <c r="G40" i="5" s="1"/>
  <c r="O41" i="5"/>
  <c r="H41" i="5"/>
  <c r="Q42" i="5" s="1"/>
  <c r="R42" i="5"/>
  <c r="C42" i="5"/>
  <c r="N41" i="5"/>
  <c r="R41" i="5"/>
  <c r="Q41" i="5"/>
  <c r="K41" i="5"/>
  <c r="S41" i="5"/>
  <c r="L41" i="5"/>
  <c r="P41" i="5"/>
  <c r="E41" i="5" l="1"/>
  <c r="F41" i="5" s="1"/>
  <c r="G41" i="5" s="1"/>
  <c r="P42" i="5"/>
  <c r="O42" i="5"/>
  <c r="N42" i="5"/>
  <c r="L42" i="5"/>
  <c r="T42" i="5"/>
  <c r="K42" i="5"/>
  <c r="S42" i="5"/>
  <c r="C43" i="5"/>
  <c r="H42" i="5"/>
  <c r="T43" i="5" s="1"/>
  <c r="M42" i="5"/>
  <c r="E42" i="5" l="1"/>
  <c r="F42" i="5" s="1"/>
  <c r="G42" i="5" s="1"/>
  <c r="M43" i="5"/>
  <c r="N43" i="5"/>
  <c r="O43" i="5"/>
  <c r="K43" i="5"/>
  <c r="R43" i="5"/>
  <c r="H43" i="5"/>
  <c r="S44" i="5" s="1"/>
  <c r="N44" i="5"/>
  <c r="C44" i="5"/>
  <c r="T44" i="5"/>
  <c r="P44" i="5"/>
  <c r="S43" i="5"/>
  <c r="Q43" i="5"/>
  <c r="L43" i="5"/>
  <c r="P43" i="5"/>
  <c r="E43" i="5" l="1"/>
  <c r="F43" i="5" s="1"/>
  <c r="G43" i="5" s="1"/>
  <c r="M44" i="5"/>
  <c r="Q44" i="5"/>
  <c r="L44" i="5"/>
  <c r="C45" i="5"/>
  <c r="H44" i="5"/>
  <c r="R45" i="5" s="1"/>
  <c r="Q45" i="5"/>
  <c r="R44" i="5"/>
  <c r="K44" i="5"/>
  <c r="O44" i="5"/>
  <c r="M45" i="5" l="1"/>
  <c r="E44" i="5"/>
  <c r="F44" i="5" s="1"/>
  <c r="G44" i="5" s="1"/>
  <c r="S45" i="5"/>
  <c r="L45" i="5"/>
  <c r="T45" i="5"/>
  <c r="K45" i="5"/>
  <c r="P45" i="5"/>
  <c r="O45" i="5"/>
  <c r="H45" i="5"/>
  <c r="Q46" i="5" s="1"/>
  <c r="N46" i="5"/>
  <c r="C46" i="5"/>
  <c r="C47" i="5" s="1"/>
  <c r="C48" i="5" s="1"/>
  <c r="C49" i="5" s="1"/>
  <c r="C50" i="5" s="1"/>
  <c r="C51" i="5" s="1"/>
  <c r="C52" i="5" s="1"/>
  <c r="C53" i="5" s="1"/>
  <c r="C54" i="5" s="1"/>
  <c r="R46" i="5"/>
  <c r="N45" i="5"/>
  <c r="P46" i="5" l="1"/>
  <c r="E45" i="5"/>
  <c r="F45" i="5" s="1"/>
  <c r="G45" i="5" s="1"/>
  <c r="L46" i="5"/>
  <c r="T46" i="5"/>
  <c r="K46" i="5"/>
  <c r="S46" i="5"/>
  <c r="O46" i="5"/>
  <c r="H46" i="5"/>
  <c r="T47" i="5" s="1"/>
  <c r="M46" i="5"/>
  <c r="E46" i="5" l="1"/>
  <c r="F46" i="5" s="1"/>
  <c r="G46" i="5" s="1"/>
  <c r="S47" i="5"/>
  <c r="M47" i="5"/>
  <c r="H47" i="5"/>
  <c r="Q48" i="5" s="1"/>
  <c r="N47" i="5"/>
  <c r="R47" i="5"/>
  <c r="K47" i="5"/>
  <c r="O47" i="5"/>
  <c r="Q47" i="5"/>
  <c r="L47" i="5"/>
  <c r="P47" i="5"/>
  <c r="P48" i="5" l="1"/>
  <c r="L48" i="5"/>
  <c r="N48" i="5"/>
  <c r="T48" i="5"/>
  <c r="R48" i="5"/>
  <c r="E47" i="5"/>
  <c r="F47" i="5" s="1"/>
  <c r="G47" i="5" s="1"/>
  <c r="K48" i="5"/>
  <c r="S48" i="5"/>
  <c r="O48" i="5"/>
  <c r="M48" i="5"/>
  <c r="H48" i="5"/>
  <c r="R49" i="5" s="1"/>
  <c r="E48" i="5" l="1"/>
  <c r="F48" i="5" s="1"/>
  <c r="G48" i="5" s="1"/>
  <c r="M49" i="5"/>
  <c r="Q49" i="5"/>
  <c r="K49" i="5"/>
  <c r="P49" i="5"/>
  <c r="S49" i="5"/>
  <c r="L49" i="5"/>
  <c r="T49" i="5"/>
  <c r="O49" i="5"/>
  <c r="H49" i="5"/>
  <c r="Q50" i="5" s="1"/>
  <c r="N49" i="5"/>
  <c r="R50" i="5" l="1"/>
  <c r="E49" i="5"/>
  <c r="F49" i="5" s="1"/>
  <c r="G49" i="5" s="1"/>
  <c r="P50" i="5"/>
  <c r="N50" i="5"/>
  <c r="L50" i="5"/>
  <c r="T50" i="5"/>
  <c r="K50" i="5"/>
  <c r="O50" i="5"/>
  <c r="S50" i="5"/>
  <c r="H50" i="5"/>
  <c r="T51" i="5" s="1"/>
  <c r="M50" i="5"/>
  <c r="O51" i="5" l="1"/>
  <c r="E50" i="5"/>
  <c r="F50" i="5" s="1"/>
  <c r="G50" i="5" s="1"/>
  <c r="K51" i="5"/>
  <c r="M51" i="5"/>
  <c r="N51" i="5"/>
  <c r="R51" i="5"/>
  <c r="H51" i="5"/>
  <c r="S52" i="5" s="1"/>
  <c r="L52" i="5"/>
  <c r="S51" i="5"/>
  <c r="Q51" i="5"/>
  <c r="L51" i="5"/>
  <c r="P51" i="5"/>
  <c r="T52" i="5" l="1"/>
  <c r="N52" i="5"/>
  <c r="E51" i="5"/>
  <c r="F51" i="5" s="1"/>
  <c r="G51" i="5" s="1"/>
  <c r="M52" i="5"/>
  <c r="Q52" i="5"/>
  <c r="P52" i="5"/>
  <c r="H52" i="5"/>
  <c r="R53" i="5" s="1"/>
  <c r="R52" i="5"/>
  <c r="K52" i="5"/>
  <c r="O52" i="5"/>
  <c r="M53" i="5" l="1"/>
  <c r="E52" i="5"/>
  <c r="F52" i="5" s="1"/>
  <c r="G52" i="5" s="1"/>
  <c r="S53" i="5"/>
  <c r="L53" i="5"/>
  <c r="T53" i="5"/>
  <c r="Q53" i="5"/>
  <c r="K53" i="5"/>
  <c r="P53" i="5"/>
  <c r="O53" i="5"/>
  <c r="H53" i="5"/>
  <c r="Q54" i="5" s="1"/>
  <c r="R54" i="5"/>
  <c r="N53" i="5"/>
  <c r="P54" i="5" l="1"/>
  <c r="N54" i="5"/>
  <c r="L54" i="5"/>
  <c r="T54" i="5"/>
  <c r="E53" i="5"/>
  <c r="F53" i="5" s="1"/>
  <c r="G53" i="5" s="1"/>
  <c r="K54" i="5"/>
  <c r="O54" i="5"/>
  <c r="S54" i="5"/>
  <c r="C55" i="5"/>
  <c r="H54" i="5"/>
  <c r="T55" i="5" s="1"/>
  <c r="M54" i="5"/>
  <c r="E54" i="5" l="1"/>
  <c r="F54" i="5" s="1"/>
  <c r="G54" i="5" s="1"/>
  <c r="O55" i="5"/>
  <c r="M55" i="5"/>
  <c r="H55" i="5"/>
  <c r="Q56" i="5" s="1"/>
  <c r="N56" i="5"/>
  <c r="C56" i="5"/>
  <c r="T56" i="5"/>
  <c r="L56" i="5"/>
  <c r="N55" i="5"/>
  <c r="R55" i="5"/>
  <c r="K55" i="5"/>
  <c r="S55" i="5"/>
  <c r="Q55" i="5"/>
  <c r="L55" i="5"/>
  <c r="P55" i="5"/>
  <c r="P56" i="5" l="1"/>
  <c r="R56" i="5"/>
  <c r="E55" i="5"/>
  <c r="F55" i="5" s="1"/>
  <c r="G55" i="5" s="1"/>
  <c r="O56" i="5"/>
  <c r="K56" i="5"/>
  <c r="S56" i="5"/>
  <c r="M56" i="5"/>
  <c r="C57" i="5"/>
  <c r="H56" i="5"/>
  <c r="R57" i="5" s="1"/>
  <c r="E56" i="5" l="1"/>
  <c r="F56" i="5" s="1"/>
  <c r="G56" i="5" s="1"/>
  <c r="M57" i="5"/>
  <c r="Q57" i="5"/>
  <c r="K57" i="5"/>
  <c r="P57" i="5"/>
  <c r="S57" i="5"/>
  <c r="L57" i="5"/>
  <c r="T57" i="5"/>
  <c r="O57" i="5"/>
  <c r="H57" i="5"/>
  <c r="Q58" i="5" s="1"/>
  <c r="C58" i="5"/>
  <c r="N57" i="5"/>
  <c r="R58" i="5" l="1"/>
  <c r="P58" i="5"/>
  <c r="E57" i="5"/>
  <c r="F57" i="5" s="1"/>
  <c r="G57" i="5" s="1"/>
  <c r="O58" i="5"/>
  <c r="N58" i="5"/>
  <c r="L58" i="5"/>
  <c r="T58" i="5"/>
  <c r="K58" i="5"/>
  <c r="S58" i="5"/>
  <c r="C59" i="5"/>
  <c r="H58" i="5"/>
  <c r="T59" i="5" s="1"/>
  <c r="M58" i="5"/>
  <c r="E58" i="5" l="1"/>
  <c r="F58" i="5" s="1"/>
  <c r="G58" i="5" s="1"/>
  <c r="Q59" i="5"/>
  <c r="H59" i="5"/>
  <c r="S60" i="5" s="1"/>
  <c r="C60" i="5"/>
  <c r="R60" i="5"/>
  <c r="O59" i="5"/>
  <c r="N59" i="5"/>
  <c r="R59" i="5"/>
  <c r="K59" i="5"/>
  <c r="M59" i="5"/>
  <c r="L59" i="5"/>
  <c r="S59" i="5"/>
  <c r="P59" i="5"/>
  <c r="E59" i="5" l="1"/>
  <c r="F59" i="5" s="1"/>
  <c r="G59" i="5" s="1"/>
  <c r="T60" i="5"/>
  <c r="Q60" i="5"/>
  <c r="N60" i="5"/>
  <c r="L60" i="5"/>
  <c r="M60" i="5"/>
  <c r="C61" i="5"/>
  <c r="H60" i="5"/>
  <c r="R61" i="5" s="1"/>
  <c r="P60" i="5"/>
  <c r="K60" i="5"/>
  <c r="O60" i="5"/>
  <c r="E60" i="5" l="1"/>
  <c r="F60" i="5" s="1"/>
  <c r="G60" i="5" s="1"/>
  <c r="Q61" i="5"/>
  <c r="L61" i="5"/>
  <c r="K61" i="5"/>
  <c r="T61" i="5"/>
  <c r="O61" i="5"/>
  <c r="P61" i="5"/>
  <c r="S61" i="5"/>
  <c r="M61" i="5"/>
  <c r="H61" i="5"/>
  <c r="S62" i="5" s="1"/>
  <c r="C62" i="5"/>
  <c r="C63" i="5" s="1"/>
  <c r="C64" i="5" s="1"/>
  <c r="C65" i="5" s="1"/>
  <c r="C66" i="5" s="1"/>
  <c r="C67" i="5" s="1"/>
  <c r="L62" i="5"/>
  <c r="N61" i="5"/>
  <c r="E61" i="5" l="1"/>
  <c r="F61" i="5" s="1"/>
  <c r="G61" i="5" s="1"/>
  <c r="P62" i="5"/>
  <c r="N62" i="5"/>
  <c r="M62" i="5"/>
  <c r="Q62" i="5"/>
  <c r="T62" i="5"/>
  <c r="H62" i="5"/>
  <c r="R63" i="5" s="1"/>
  <c r="R62" i="5"/>
  <c r="K62" i="5"/>
  <c r="O62" i="5"/>
  <c r="E62" i="5" l="1"/>
  <c r="F62" i="5" s="1"/>
  <c r="G62" i="5" s="1"/>
  <c r="M63" i="5"/>
  <c r="Q63" i="5"/>
  <c r="K63" i="5"/>
  <c r="S63" i="5"/>
  <c r="L63" i="5"/>
  <c r="P63" i="5"/>
  <c r="T63" i="5"/>
  <c r="O63" i="5"/>
  <c r="H63" i="5"/>
  <c r="S64" i="5" s="1"/>
  <c r="N63" i="5"/>
  <c r="R64" i="5" l="1"/>
  <c r="P64" i="5"/>
  <c r="E63" i="5"/>
  <c r="F63" i="5" s="1"/>
  <c r="G63" i="5" s="1"/>
  <c r="H64" i="5"/>
  <c r="T65" i="5" s="1"/>
  <c r="M64" i="5"/>
  <c r="Q64" i="5"/>
  <c r="N64" i="5"/>
  <c r="L64" i="5"/>
  <c r="T64" i="5"/>
  <c r="K64" i="5"/>
  <c r="O64" i="5"/>
  <c r="E64" i="5" l="1"/>
  <c r="F64" i="5" s="1"/>
  <c r="G64" i="5" s="1"/>
  <c r="M65" i="5"/>
  <c r="N65" i="5"/>
  <c r="O65" i="5"/>
  <c r="K65" i="5"/>
  <c r="R65" i="5"/>
  <c r="H65" i="5"/>
  <c r="S66" i="5" s="1"/>
  <c r="S65" i="5"/>
  <c r="Q65" i="5"/>
  <c r="L65" i="5"/>
  <c r="P65" i="5"/>
  <c r="P66" i="5" l="1"/>
  <c r="E65" i="5"/>
  <c r="F65" i="5" s="1"/>
  <c r="G65" i="5" s="1"/>
  <c r="T66" i="5"/>
  <c r="N66" i="5"/>
  <c r="M66" i="5"/>
  <c r="Q66" i="5"/>
  <c r="L66" i="5"/>
  <c r="H66" i="5"/>
  <c r="R67" i="5" s="1"/>
  <c r="R66" i="5"/>
  <c r="K66" i="5"/>
  <c r="O66" i="5"/>
  <c r="Q67" i="5" l="1"/>
  <c r="E66" i="5"/>
  <c r="F66" i="5" s="1"/>
  <c r="G66" i="5" s="1"/>
  <c r="M67" i="5"/>
  <c r="S67" i="5"/>
  <c r="L67" i="5"/>
  <c r="T67" i="5"/>
  <c r="K67" i="5"/>
  <c r="P67" i="5"/>
  <c r="O67" i="5"/>
  <c r="H67" i="5"/>
  <c r="Q68" i="5" s="1"/>
  <c r="C68" i="5"/>
  <c r="R68" i="5"/>
  <c r="N67" i="5"/>
  <c r="N68" i="5" l="1"/>
  <c r="P68" i="5"/>
  <c r="E67" i="5"/>
  <c r="F67" i="5" s="1"/>
  <c r="G67" i="5" s="1"/>
  <c r="S68" i="5"/>
  <c r="L68" i="5"/>
  <c r="T68" i="5"/>
  <c r="K68" i="5"/>
  <c r="O68" i="5"/>
  <c r="C69" i="5"/>
  <c r="H68" i="5"/>
  <c r="T69" i="5" s="1"/>
  <c r="M68" i="5"/>
  <c r="E68" i="5" l="1"/>
  <c r="F68" i="5" s="1"/>
  <c r="G68" i="5" s="1"/>
  <c r="S69" i="5"/>
  <c r="M69" i="5"/>
  <c r="H69" i="5"/>
  <c r="S70" i="5" s="1"/>
  <c r="C70" i="5"/>
  <c r="L70" i="5"/>
  <c r="N69" i="5"/>
  <c r="R69" i="5"/>
  <c r="K69" i="5"/>
  <c r="O69" i="5"/>
  <c r="Q69" i="5"/>
  <c r="L69" i="5"/>
  <c r="P69" i="5"/>
  <c r="E69" i="5" l="1"/>
  <c r="F69" i="5" s="1"/>
  <c r="G69" i="5" s="1"/>
  <c r="P70" i="5"/>
  <c r="N70" i="5"/>
  <c r="M70" i="5"/>
  <c r="Q70" i="5"/>
  <c r="T70" i="5"/>
  <c r="C71" i="5"/>
  <c r="K71" i="5"/>
  <c r="R71" i="5"/>
  <c r="Q71" i="5"/>
  <c r="M71" i="5"/>
  <c r="R70" i="5"/>
  <c r="K70" i="5"/>
  <c r="O70" i="5"/>
  <c r="E70" i="5" l="1"/>
  <c r="F70" i="5" s="1"/>
  <c r="G70" i="5" s="1"/>
  <c r="S71" i="5"/>
  <c r="L71" i="5"/>
  <c r="T71" i="5"/>
  <c r="P71" i="5"/>
  <c r="O71" i="5"/>
  <c r="Q72" i="5"/>
  <c r="P72" i="5"/>
  <c r="R72" i="5"/>
  <c r="C72" i="5"/>
  <c r="N71" i="5"/>
  <c r="E71" i="5" l="1"/>
  <c r="F71" i="5" s="1"/>
  <c r="G71" i="5" s="1"/>
  <c r="N72" i="5"/>
  <c r="L72" i="5"/>
  <c r="T72" i="5"/>
  <c r="K72" i="5"/>
  <c r="S72" i="5"/>
  <c r="O72" i="5"/>
  <c r="H72" i="5"/>
  <c r="S73" i="5" s="1"/>
  <c r="M72" i="5"/>
  <c r="E72" i="5" l="1"/>
  <c r="F72" i="5" s="1"/>
  <c r="G72" i="5" s="1"/>
  <c r="G73" i="5" s="1"/>
  <c r="K12" i="5" s="1"/>
  <c r="T73" i="5"/>
  <c r="R73" i="5"/>
  <c r="M73" i="5"/>
  <c r="Q73" i="5"/>
  <c r="P73" i="5"/>
  <c r="L73" i="5"/>
  <c r="N73" i="5"/>
  <c r="K73" i="5"/>
  <c r="O73" i="5"/>
  <c r="E73" i="5" l="1"/>
  <c r="C73" i="5" s="1"/>
  <c r="D37" i="1" s="1"/>
  <c r="P56" i="1" s="1"/>
  <c r="H73" i="5" l="1"/>
  <c r="R74" i="5" s="1"/>
  <c r="S74" i="5" l="1"/>
  <c r="N74" i="5"/>
  <c r="L74" i="5"/>
  <c r="M74" i="5"/>
  <c r="Q74" i="5"/>
  <c r="T74" i="5"/>
  <c r="P74" i="5"/>
  <c r="O74" i="5"/>
  <c r="K74" i="5"/>
  <c r="E74" i="5" l="1"/>
  <c r="C74" i="5" s="1"/>
  <c r="H74" i="5" l="1"/>
  <c r="S75" i="5" s="1"/>
  <c r="D38" i="1"/>
  <c r="P57" i="1" s="1"/>
  <c r="M75" i="5" l="1"/>
  <c r="O75" i="5"/>
  <c r="K75" i="5"/>
  <c r="N75" i="5"/>
  <c r="L75" i="5"/>
  <c r="T75" i="5"/>
  <c r="P75" i="5"/>
  <c r="Q75" i="5"/>
  <c r="R75" i="5"/>
  <c r="E75" i="5" l="1"/>
  <c r="C75" i="5" s="1"/>
  <c r="H75" i="5" s="1"/>
  <c r="R76" i="5" s="1"/>
  <c r="D39" i="1" l="1"/>
  <c r="P58" i="1" s="1"/>
  <c r="Q76" i="5"/>
  <c r="M76" i="5"/>
  <c r="K76" i="5"/>
  <c r="T76" i="5"/>
  <c r="P76" i="5"/>
  <c r="L76" i="5"/>
  <c r="O76" i="5"/>
  <c r="N76" i="5"/>
  <c r="S76" i="5"/>
  <c r="E76" i="5" l="1"/>
  <c r="C76" i="5" s="1"/>
  <c r="H76" i="5" s="1"/>
  <c r="D40" i="1" l="1"/>
  <c r="P59" i="1" s="1"/>
  <c r="O77" i="5"/>
  <c r="Q77" i="5"/>
  <c r="L77" i="5"/>
  <c r="K77" i="5"/>
  <c r="R77" i="5"/>
  <c r="N77" i="5"/>
  <c r="M77" i="5"/>
  <c r="T77" i="5"/>
  <c r="P77" i="5"/>
  <c r="S77" i="5"/>
  <c r="E77" i="5" l="1"/>
  <c r="C77" i="5" s="1"/>
  <c r="D41" i="1" s="1"/>
  <c r="P60" i="1" s="1"/>
  <c r="H77" i="5" l="1"/>
  <c r="S78" i="5" s="1"/>
  <c r="N78" i="5" l="1"/>
  <c r="K78" i="5"/>
  <c r="Q78" i="5"/>
  <c r="M78" i="5"/>
  <c r="R78" i="5"/>
  <c r="P78" i="5"/>
  <c r="T78" i="5"/>
  <c r="L78" i="5"/>
  <c r="O78" i="5"/>
  <c r="E78" i="5" l="1"/>
  <c r="C78" i="5" s="1"/>
  <c r="D42" i="1" s="1"/>
  <c r="P61" i="1" s="1"/>
  <c r="H78" i="5" l="1"/>
  <c r="R79" i="5" s="1"/>
  <c r="N79" i="5" l="1"/>
  <c r="S79" i="5"/>
  <c r="Q79" i="5"/>
  <c r="P79" i="5"/>
  <c r="M79" i="5"/>
  <c r="K79" i="5"/>
  <c r="O79" i="5"/>
  <c r="L79" i="5"/>
  <c r="T79" i="5"/>
  <c r="E79" i="5" l="1"/>
  <c r="C79" i="5" s="1"/>
  <c r="D43" i="1" s="1"/>
  <c r="P62" i="1" s="1"/>
  <c r="H79" i="5" l="1"/>
  <c r="S80" i="5" s="1"/>
  <c r="M80" i="5" l="1"/>
  <c r="N80" i="5"/>
  <c r="T80" i="5"/>
  <c r="Q80" i="5"/>
  <c r="K80" i="5"/>
  <c r="L80" i="5"/>
  <c r="O80" i="5"/>
  <c r="R80" i="5"/>
  <c r="P80" i="5"/>
  <c r="E80" i="5" l="1"/>
  <c r="C80" i="5" s="1"/>
  <c r="H80" i="5" s="1"/>
  <c r="D44" i="1" l="1"/>
  <c r="P63" i="1" s="1"/>
  <c r="T81" i="5"/>
  <c r="K81" i="5"/>
  <c r="Q81" i="5"/>
  <c r="L81" i="5"/>
  <c r="M81" i="5"/>
  <c r="S81" i="5"/>
  <c r="N81" i="5"/>
  <c r="P81" i="5"/>
  <c r="R81" i="5"/>
  <c r="O81" i="5"/>
  <c r="E81" i="5" l="1"/>
  <c r="C81" i="5" s="1"/>
  <c r="H81" i="5" s="1"/>
  <c r="K82" i="5" s="1"/>
  <c r="D45" i="1" l="1"/>
  <c r="P64" i="1" s="1"/>
  <c r="O82" i="5"/>
  <c r="M82" i="5"/>
  <c r="L82" i="5"/>
  <c r="E82" i="5" s="1"/>
  <c r="C82" i="5" s="1"/>
  <c r="R82" i="5"/>
  <c r="T82" i="5"/>
  <c r="N82" i="5"/>
  <c r="S82" i="5"/>
  <c r="Q82" i="5"/>
  <c r="P82" i="5"/>
  <c r="H82" i="5" l="1"/>
  <c r="D46" i="1"/>
  <c r="P65" i="1" s="1"/>
</calcChain>
</file>

<file path=xl/sharedStrings.xml><?xml version="1.0" encoding="utf-8"?>
<sst xmlns="http://schemas.openxmlformats.org/spreadsheetml/2006/main" count="75" uniqueCount="61">
  <si>
    <t>C</t>
  </si>
  <si>
    <t>Alfa 1</t>
  </si>
  <si>
    <t>Alfa 2</t>
  </si>
  <si>
    <t>Alfa 3</t>
  </si>
  <si>
    <t>Alfa 4</t>
  </si>
  <si>
    <t>Alfa 5</t>
  </si>
  <si>
    <t>Alfa 6</t>
  </si>
  <si>
    <t>Alfa 7</t>
  </si>
  <si>
    <t>Alfa 8</t>
  </si>
  <si>
    <t>Alfa 9</t>
  </si>
  <si>
    <t>Alfa 10</t>
  </si>
  <si>
    <t>Alfa 11</t>
  </si>
  <si>
    <t>Alfa 12</t>
  </si>
  <si>
    <t>Alfa 13</t>
  </si>
  <si>
    <t>Alfa 14</t>
  </si>
  <si>
    <t>Alfa 15</t>
  </si>
  <si>
    <t>Alfa 16</t>
  </si>
  <si>
    <t>Alfa 17</t>
  </si>
  <si>
    <t>Alfa 18</t>
  </si>
  <si>
    <t>Alfa 19</t>
  </si>
  <si>
    <t>Alfa 20</t>
  </si>
  <si>
    <t>Periods</t>
  </si>
  <si>
    <t>Data</t>
  </si>
  <si>
    <t>Estimated Value</t>
  </si>
  <si>
    <t>Error</t>
  </si>
  <si>
    <t>Error^2</t>
  </si>
  <si>
    <t>Difference in data</t>
  </si>
  <si>
    <t>New Value 1</t>
  </si>
  <si>
    <t>New Value 2</t>
  </si>
  <si>
    <t>New Value 3</t>
  </si>
  <si>
    <t>New Value 4</t>
  </si>
  <si>
    <t>New Value 5</t>
  </si>
  <si>
    <t>New Value 6</t>
  </si>
  <si>
    <t>New Value 7</t>
  </si>
  <si>
    <t>New Value 8</t>
  </si>
  <si>
    <t>New Value 9</t>
  </si>
  <si>
    <t>New Value 10</t>
  </si>
  <si>
    <t>Forecasting Widget</t>
  </si>
  <si>
    <t>This widget allows the operator to forecast CMO capacity values
Details about the concepts considered in this widget are explained in section 2.3.2 of the Capacity Planning Module</t>
  </si>
  <si>
    <t>Instructions</t>
  </si>
  <si>
    <t>Historic Capacity Data</t>
  </si>
  <si>
    <t>Forecasted Capacity Data</t>
  </si>
  <si>
    <t>Number of periods to forecast</t>
  </si>
  <si>
    <t>[1 - 10]</t>
  </si>
  <si>
    <t>New Period 1</t>
  </si>
  <si>
    <t>New Period 2</t>
  </si>
  <si>
    <t>New Period 3</t>
  </si>
  <si>
    <t>New Period 4</t>
  </si>
  <si>
    <t>New Period 5</t>
  </si>
  <si>
    <t>New Period 6</t>
  </si>
  <si>
    <t>New Period 7</t>
  </si>
  <si>
    <t>New Period 8</t>
  </si>
  <si>
    <t>New Period 9</t>
  </si>
  <si>
    <t>New Period 10</t>
  </si>
  <si>
    <t>Use higher periods to forcast highly variant data.
Run ARIMA for each new number of periods.</t>
  </si>
  <si>
    <t>Square mean error</t>
  </si>
  <si>
    <t>Number of past values</t>
  </si>
  <si>
    <t>Number of new values</t>
  </si>
  <si>
    <t>Input dat</t>
  </si>
  <si>
    <t>Do not modify these cells</t>
  </si>
  <si>
    <t>1.- Fill the input data table on column "P" with up to 50 values.
2.- Define the number of periods to be forecasted. 
3.- Define the number of new values. 
4.- Run the widget by pressing the "Run ARIMA" button.
Process must be run every time any of the previous steps is modified.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</si>
</sst>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0">
    <font>
      <sz val="10"/>
      <name val="Arial Tur"/>
      <charset val="162"/>
    </font>
    <font>
      <sz val="11"/>
      <color theme="0"/>
      <name val="Calibri"/>
      <family val="2"/>
      <scheme val="minor"/>
    </font>
    <font>
      <sz val="10"/>
      <name val="Arial Tur"/>
      <charset val="162"/>
    </font>
    <font>
      <b/>
      <sz val="10"/>
      <name val="Arial Tur"/>
      <charset val="162"/>
    </font>
    <font>
      <sz val="10"/>
      <color theme="0"/>
      <name val="Arial Tur"/>
      <charset val="162"/>
    </font>
    <font>
      <b/>
      <sz val="10"/>
      <name val="Arial Tur"/>
    </font>
    <font>
      <b/>
      <sz val="11"/>
      <name val="Arial Tur"/>
    </font>
    <font>
      <sz val="8"/>
      <name val="Arial Tur"/>
      <charset val="162"/>
    </font>
    <font>
      <sz val="10"/>
      <color rgb="FF000000"/>
      <name val="Arial Tur"/>
    </font>
    <font>
      <sz val="9"/>
      <name val="Arial Tur"/>
      <charset val="16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9" fontId="0" fillId="0" borderId="0" xfId="1" applyFont="1"/>
    <xf numFmtId="0" fontId="0" fillId="5" borderId="0" xfId="0" applyFill="1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3" fillId="0" borderId="0" xfId="0" applyNumberFormat="1" applyFont="1" applyAlignment="1">
      <alignment horizontal="center"/>
    </xf>
    <xf numFmtId="164" fontId="0" fillId="0" borderId="3" xfId="0" applyNumberFormat="1" applyBorder="1"/>
    <xf numFmtId="164" fontId="0" fillId="0" borderId="0" xfId="0" applyNumberFormat="1"/>
    <xf numFmtId="0" fontId="4" fillId="0" borderId="0" xfId="0" applyFont="1"/>
    <xf numFmtId="164" fontId="0" fillId="0" borderId="0" xfId="0" applyNumberFormat="1" applyAlignment="1">
      <alignment horizontal="center" vertical="center"/>
    </xf>
    <xf numFmtId="164" fontId="0" fillId="0" borderId="3" xfId="0" applyNumberForma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Font="1"/>
    <xf numFmtId="0" fontId="5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0" fillId="9" borderId="2" xfId="0" applyFill="1" applyBorder="1"/>
    <xf numFmtId="0" fontId="0" fillId="8" borderId="4" xfId="0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0" fillId="10" borderId="11" xfId="0" applyFill="1" applyBorder="1" applyAlignment="1">
      <alignment horizontal="right"/>
    </xf>
    <xf numFmtId="0" fontId="0" fillId="0" borderId="11" xfId="0" applyBorder="1" applyAlignment="1">
      <alignment horizontal="left" vertical="center" wrapText="1"/>
    </xf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0" xfId="0" applyFont="1" applyFill="1" applyAlignment="1">
      <alignment horizontal="right"/>
    </xf>
    <xf numFmtId="0" fontId="5" fillId="5" borderId="0" xfId="0" applyFont="1" applyFill="1" applyAlignment="1">
      <alignment horizontal="right"/>
    </xf>
    <xf numFmtId="0" fontId="0" fillId="9" borderId="12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6" xfId="0" applyBorder="1" applyAlignment="1">
      <alignment horizontal="center"/>
    </xf>
    <xf numFmtId="0" fontId="0" fillId="0" borderId="0" xfId="0" applyBorder="1"/>
    <xf numFmtId="0" fontId="0" fillId="0" borderId="17" xfId="0" applyBorder="1"/>
    <xf numFmtId="0" fontId="1" fillId="7" borderId="0" xfId="0" applyFont="1" applyFill="1" applyBorder="1" applyAlignment="1">
      <alignment horizontal="center" vertical="center"/>
    </xf>
    <xf numFmtId="0" fontId="1" fillId="7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0" fillId="0" borderId="17" xfId="0" applyBorder="1" applyAlignment="1">
      <alignment vertical="center" wrapText="1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vertical="top" wrapText="1"/>
    </xf>
    <xf numFmtId="0" fontId="0" fillId="0" borderId="6" xfId="0" applyBorder="1"/>
    <xf numFmtId="0" fontId="0" fillId="0" borderId="7" xfId="0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/>
    </xf>
    <xf numFmtId="164" fontId="0" fillId="11" borderId="22" xfId="0" applyNumberFormat="1" applyFill="1" applyBorder="1" applyAlignment="1">
      <alignment horizontal="center"/>
    </xf>
    <xf numFmtId="0" fontId="0" fillId="11" borderId="17" xfId="0" applyFill="1" applyBorder="1"/>
    <xf numFmtId="164" fontId="0" fillId="11" borderId="23" xfId="0" applyNumberFormat="1" applyFill="1" applyBorder="1" applyAlignment="1">
      <alignment horizontal="center"/>
    </xf>
    <xf numFmtId="0" fontId="0" fillId="11" borderId="19" xfId="0" applyFill="1" applyBorder="1"/>
    <xf numFmtId="0" fontId="5" fillId="2" borderId="24" xfId="0" applyFont="1" applyFill="1" applyBorder="1" applyAlignment="1">
      <alignment horizontal="center" textRotation="90" wrapText="1"/>
    </xf>
    <xf numFmtId="0" fontId="5" fillId="2" borderId="25" xfId="0" applyFont="1" applyFill="1" applyBorder="1" applyAlignment="1">
      <alignment horizontal="center" textRotation="90" wrapText="1"/>
    </xf>
    <xf numFmtId="0" fontId="5" fillId="2" borderId="26" xfId="0" applyFont="1" applyFill="1" applyBorder="1" applyAlignment="1">
      <alignment horizontal="center" textRotation="90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'ARIMA GUI'!$P$5</c:f>
              <c:strCache>
                <c:ptCount val="1"/>
                <c:pt idx="0">
                  <c:v>Data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'ARIMA GUI'!$O$6:$O$65</c:f>
              <c:strCach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New Value 1</c:v>
                </c:pt>
                <c:pt idx="51">
                  <c:v>New Value 2</c:v>
                </c:pt>
                <c:pt idx="52">
                  <c:v>New Value 3</c:v>
                </c:pt>
                <c:pt idx="53">
                  <c:v>New Value 4</c:v>
                </c:pt>
                <c:pt idx="54">
                  <c:v>New Value 5</c:v>
                </c:pt>
                <c:pt idx="55">
                  <c:v>New Value 6</c:v>
                </c:pt>
                <c:pt idx="56">
                  <c:v>New Value 7</c:v>
                </c:pt>
                <c:pt idx="57">
                  <c:v>New Value 8</c:v>
                </c:pt>
                <c:pt idx="58">
                  <c:v>New Value 9</c:v>
                </c:pt>
                <c:pt idx="59">
                  <c:v>New Value 10</c:v>
                </c:pt>
              </c:strCache>
            </c:strRef>
          </c:cat>
          <c:val>
            <c:numRef>
              <c:f>'ARIMA GUI'!$P$6:$P$65</c:f>
              <c:numCache>
                <c:formatCode>0.0000</c:formatCode>
                <c:ptCount val="60"/>
                <c:pt idx="0">
                  <c:v>0.2</c:v>
                </c:pt>
                <c:pt idx="1">
                  <c:v>0.65890000000000004</c:v>
                </c:pt>
                <c:pt idx="2">
                  <c:v>1.1177999999999999</c:v>
                </c:pt>
                <c:pt idx="3">
                  <c:v>1.5766999999999998</c:v>
                </c:pt>
                <c:pt idx="4">
                  <c:v>2.0355999999999996</c:v>
                </c:pt>
                <c:pt idx="5">
                  <c:v>2.4944999999999995</c:v>
                </c:pt>
                <c:pt idx="6">
                  <c:v>2.9533999999999994</c:v>
                </c:pt>
                <c:pt idx="7">
                  <c:v>3.4122999999999992</c:v>
                </c:pt>
                <c:pt idx="8">
                  <c:v>3.8711999999999991</c:v>
                </c:pt>
                <c:pt idx="9">
                  <c:v>3.4122999999999992</c:v>
                </c:pt>
                <c:pt idx="10">
                  <c:v>2.9533999999999994</c:v>
                </c:pt>
                <c:pt idx="11">
                  <c:v>2.4944999999999995</c:v>
                </c:pt>
                <c:pt idx="12">
                  <c:v>2.0355999999999996</c:v>
                </c:pt>
                <c:pt idx="13">
                  <c:v>1.5766999999999998</c:v>
                </c:pt>
                <c:pt idx="14">
                  <c:v>2.0355999999999996</c:v>
                </c:pt>
                <c:pt idx="15">
                  <c:v>2.4944999999999995</c:v>
                </c:pt>
                <c:pt idx="16">
                  <c:v>2.9533999999999994</c:v>
                </c:pt>
                <c:pt idx="17">
                  <c:v>3.4122999999999992</c:v>
                </c:pt>
                <c:pt idx="18">
                  <c:v>3.8711999999999991</c:v>
                </c:pt>
                <c:pt idx="19">
                  <c:v>4.3300999999999989</c:v>
                </c:pt>
                <c:pt idx="20">
                  <c:v>4.7889999999999988</c:v>
                </c:pt>
                <c:pt idx="21">
                  <c:v>5.2478999999999987</c:v>
                </c:pt>
                <c:pt idx="22">
                  <c:v>5.7067999999999985</c:v>
                </c:pt>
                <c:pt idx="23">
                  <c:v>6.1656999999999984</c:v>
                </c:pt>
                <c:pt idx="24">
                  <c:v>5.7067999999999985</c:v>
                </c:pt>
                <c:pt idx="25">
                  <c:v>5.2478999999999987</c:v>
                </c:pt>
                <c:pt idx="26">
                  <c:v>4.7889999999999988</c:v>
                </c:pt>
                <c:pt idx="27">
                  <c:v>4.3300999999999989</c:v>
                </c:pt>
                <c:pt idx="28">
                  <c:v>3.8711999999999991</c:v>
                </c:pt>
                <c:pt idx="29">
                  <c:v>3.4122999999999992</c:v>
                </c:pt>
                <c:pt idx="30">
                  <c:v>2.9533999999999994</c:v>
                </c:pt>
                <c:pt idx="31">
                  <c:v>2.4944999999999995</c:v>
                </c:pt>
                <c:pt idx="32">
                  <c:v>2.9533999999999994</c:v>
                </c:pt>
                <c:pt idx="33">
                  <c:v>3.4122999999999992</c:v>
                </c:pt>
                <c:pt idx="34">
                  <c:v>3.8711999999999991</c:v>
                </c:pt>
                <c:pt idx="35">
                  <c:v>4.3300999999999989</c:v>
                </c:pt>
                <c:pt idx="36">
                  <c:v>4.7889999999999988</c:v>
                </c:pt>
                <c:pt idx="37">
                  <c:v>5.2478999999999987</c:v>
                </c:pt>
                <c:pt idx="38">
                  <c:v>5.7067999999999985</c:v>
                </c:pt>
                <c:pt idx="39">
                  <c:v>6.1656999999999984</c:v>
                </c:pt>
                <c:pt idx="40">
                  <c:v>5.7067999999999985</c:v>
                </c:pt>
                <c:pt idx="41">
                  <c:v>5.2478999999999987</c:v>
                </c:pt>
                <c:pt idx="42">
                  <c:v>4.7889999999999988</c:v>
                </c:pt>
                <c:pt idx="43">
                  <c:v>4.3300999999999989</c:v>
                </c:pt>
                <c:pt idx="44">
                  <c:v>3.8711999999999991</c:v>
                </c:pt>
                <c:pt idx="45">
                  <c:v>4.3300999999999989</c:v>
                </c:pt>
                <c:pt idx="46">
                  <c:v>4.7889999999999988</c:v>
                </c:pt>
                <c:pt idx="47">
                  <c:v>5.2478999999999987</c:v>
                </c:pt>
                <c:pt idx="48">
                  <c:v>5.7067999999999985</c:v>
                </c:pt>
                <c:pt idx="49">
                  <c:v>6.1656999999999984</c:v>
                </c:pt>
                <c:pt idx="50" formatCode="General">
                  <c:v>6.2759907325366102</c:v>
                </c:pt>
                <c:pt idx="51" formatCode="General">
                  <c:v>6.1533005789070456</c:v>
                </c:pt>
                <c:pt idx="52" formatCode="General">
                  <c:v>5.8745339643922208</c:v>
                </c:pt>
                <c:pt idx="53" formatCode="General">
                  <c:v>5.4946169380597789</c:v>
                </c:pt>
                <c:pt idx="54" formatCode="General">
                  <c:v>5.049276901167131</c:v>
                </c:pt>
                <c:pt idx="55" formatCode="General">
                  <c:v>4.6801928375837436</c:v>
                </c:pt>
                <c:pt idx="56" formatCode="General">
                  <c:v>4.4445968584280431</c:v>
                </c:pt>
                <c:pt idx="57" formatCode="General">
                  <c:v>4.3557642250623729</c:v>
                </c:pt>
                <c:pt idx="58" formatCode="General">
                  <c:v>4.4033022230679073</c:v>
                </c:pt>
                <c:pt idx="59" formatCode="General">
                  <c:v>4.5678484429571551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C6-4495-B44B-0EC9D4FEE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308096"/>
        <c:axId val="514314000"/>
      </c:lineChart>
      <c:catAx>
        <c:axId val="51430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14314000"/>
        <c:crosses val="autoZero"/>
        <c:auto val="1"/>
        <c:lblAlgn val="ctr"/>
        <c:lblOffset val="100"/>
        <c:noMultiLvlLbl val="0"/>
      </c:catAx>
      <c:valAx>
        <c:axId val="51431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1430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'ARIMA Formulas'!$C$22</c:f>
              <c:strCache>
                <c:ptCount val="1"/>
                <c:pt idx="0">
                  <c:v>Data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'ARIMA Formulas'!$B$23:$B$82</c:f>
              <c:strCach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New Value 1</c:v>
                </c:pt>
                <c:pt idx="51">
                  <c:v>New Value 2</c:v>
                </c:pt>
                <c:pt idx="52">
                  <c:v>New Value 3</c:v>
                </c:pt>
                <c:pt idx="53">
                  <c:v>New Value 4</c:v>
                </c:pt>
                <c:pt idx="54">
                  <c:v>New Value 5</c:v>
                </c:pt>
                <c:pt idx="55">
                  <c:v>New Value 6</c:v>
                </c:pt>
                <c:pt idx="56">
                  <c:v>New Value 7</c:v>
                </c:pt>
                <c:pt idx="57">
                  <c:v>New Value 8</c:v>
                </c:pt>
                <c:pt idx="58">
                  <c:v>New Value 9</c:v>
                </c:pt>
                <c:pt idx="59">
                  <c:v>New Value 10</c:v>
                </c:pt>
              </c:strCache>
            </c:strRef>
          </c:cat>
          <c:val>
            <c:numRef>
              <c:f>'ARIMA Formulas'!$C$23:$C$82</c:f>
              <c:numCache>
                <c:formatCode>0.0000</c:formatCode>
                <c:ptCount val="60"/>
                <c:pt idx="0">
                  <c:v>0.2</c:v>
                </c:pt>
                <c:pt idx="1">
                  <c:v>0.65890000000000004</c:v>
                </c:pt>
                <c:pt idx="2">
                  <c:v>1.1177999999999999</c:v>
                </c:pt>
                <c:pt idx="3">
                  <c:v>1.5766999999999998</c:v>
                </c:pt>
                <c:pt idx="4">
                  <c:v>2.0355999999999996</c:v>
                </c:pt>
                <c:pt idx="5">
                  <c:v>2.4944999999999995</c:v>
                </c:pt>
                <c:pt idx="6">
                  <c:v>2.9533999999999994</c:v>
                </c:pt>
                <c:pt idx="7">
                  <c:v>3.4122999999999992</c:v>
                </c:pt>
                <c:pt idx="8">
                  <c:v>3.8711999999999991</c:v>
                </c:pt>
                <c:pt idx="9">
                  <c:v>3.4122999999999992</c:v>
                </c:pt>
                <c:pt idx="10">
                  <c:v>2.9533999999999994</c:v>
                </c:pt>
                <c:pt idx="11">
                  <c:v>2.4944999999999995</c:v>
                </c:pt>
                <c:pt idx="12">
                  <c:v>2.0355999999999996</c:v>
                </c:pt>
                <c:pt idx="13">
                  <c:v>1.5766999999999998</c:v>
                </c:pt>
                <c:pt idx="14">
                  <c:v>2.0355999999999996</c:v>
                </c:pt>
                <c:pt idx="15">
                  <c:v>2.4944999999999995</c:v>
                </c:pt>
                <c:pt idx="16">
                  <c:v>2.9533999999999994</c:v>
                </c:pt>
                <c:pt idx="17">
                  <c:v>3.4122999999999992</c:v>
                </c:pt>
                <c:pt idx="18">
                  <c:v>3.8711999999999991</c:v>
                </c:pt>
                <c:pt idx="19">
                  <c:v>4.3300999999999989</c:v>
                </c:pt>
                <c:pt idx="20">
                  <c:v>4.7889999999999988</c:v>
                </c:pt>
                <c:pt idx="21">
                  <c:v>5.2478999999999987</c:v>
                </c:pt>
                <c:pt idx="22">
                  <c:v>5.7067999999999985</c:v>
                </c:pt>
                <c:pt idx="23">
                  <c:v>6.1656999999999984</c:v>
                </c:pt>
                <c:pt idx="24">
                  <c:v>5.7067999999999985</c:v>
                </c:pt>
                <c:pt idx="25">
                  <c:v>5.2478999999999987</c:v>
                </c:pt>
                <c:pt idx="26">
                  <c:v>4.7889999999999988</c:v>
                </c:pt>
                <c:pt idx="27">
                  <c:v>4.3300999999999989</c:v>
                </c:pt>
                <c:pt idx="28">
                  <c:v>3.8711999999999991</c:v>
                </c:pt>
                <c:pt idx="29">
                  <c:v>3.4122999999999992</c:v>
                </c:pt>
                <c:pt idx="30">
                  <c:v>2.9533999999999994</c:v>
                </c:pt>
                <c:pt idx="31">
                  <c:v>2.4944999999999995</c:v>
                </c:pt>
                <c:pt idx="32">
                  <c:v>2.9533999999999994</c:v>
                </c:pt>
                <c:pt idx="33">
                  <c:v>3.4122999999999992</c:v>
                </c:pt>
                <c:pt idx="34">
                  <c:v>3.8711999999999991</c:v>
                </c:pt>
                <c:pt idx="35">
                  <c:v>4.3300999999999989</c:v>
                </c:pt>
                <c:pt idx="36">
                  <c:v>4.7889999999999988</c:v>
                </c:pt>
                <c:pt idx="37">
                  <c:v>5.2478999999999987</c:v>
                </c:pt>
                <c:pt idx="38">
                  <c:v>5.7067999999999985</c:v>
                </c:pt>
                <c:pt idx="39">
                  <c:v>6.1656999999999984</c:v>
                </c:pt>
                <c:pt idx="40">
                  <c:v>5.7067999999999985</c:v>
                </c:pt>
                <c:pt idx="41">
                  <c:v>5.2478999999999987</c:v>
                </c:pt>
                <c:pt idx="42">
                  <c:v>4.7889999999999988</c:v>
                </c:pt>
                <c:pt idx="43">
                  <c:v>4.3300999999999989</c:v>
                </c:pt>
                <c:pt idx="44">
                  <c:v>3.8711999999999991</c:v>
                </c:pt>
                <c:pt idx="45">
                  <c:v>4.3300999999999989</c:v>
                </c:pt>
                <c:pt idx="46">
                  <c:v>4.7889999999999988</c:v>
                </c:pt>
                <c:pt idx="47">
                  <c:v>5.2478999999999987</c:v>
                </c:pt>
                <c:pt idx="48">
                  <c:v>5.7067999999999985</c:v>
                </c:pt>
                <c:pt idx="49">
                  <c:v>6.1656999999999984</c:v>
                </c:pt>
                <c:pt idx="50" formatCode="General">
                  <c:v>6.2759907325366102</c:v>
                </c:pt>
                <c:pt idx="51" formatCode="General">
                  <c:v>6.1533005789070456</c:v>
                </c:pt>
                <c:pt idx="52" formatCode="General">
                  <c:v>5.8745339643922208</c:v>
                </c:pt>
                <c:pt idx="53" formatCode="General">
                  <c:v>5.4946169380597789</c:v>
                </c:pt>
                <c:pt idx="54" formatCode="General">
                  <c:v>5.049276901167131</c:v>
                </c:pt>
                <c:pt idx="55" formatCode="General">
                  <c:v>4.6801928375837436</c:v>
                </c:pt>
                <c:pt idx="56" formatCode="General">
                  <c:v>4.4445968584280431</c:v>
                </c:pt>
                <c:pt idx="57" formatCode="General">
                  <c:v>4.3557642250623729</c:v>
                </c:pt>
                <c:pt idx="58" formatCode="General">
                  <c:v>4.4033022230679073</c:v>
                </c:pt>
                <c:pt idx="59" formatCode="General">
                  <c:v>4.5678484429571551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E3-4F15-8F63-9061FAFF7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348112"/>
        <c:axId val="514350736"/>
      </c:lineChart>
      <c:catAx>
        <c:axId val="51434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14350736"/>
        <c:crosses val="autoZero"/>
        <c:auto val="1"/>
        <c:lblAlgn val="ctr"/>
        <c:lblOffset val="100"/>
        <c:noMultiLvlLbl val="0"/>
      </c:catAx>
      <c:valAx>
        <c:axId val="51435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14348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30</xdr:row>
          <xdr:rowOff>0</xdr:rowOff>
        </xdr:from>
        <xdr:to>
          <xdr:col>6</xdr:col>
          <xdr:colOff>1057275</xdr:colOff>
          <xdr:row>33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 Tur"/>
                  <a:cs typeface="Arial Tur"/>
                </a:rPr>
                <a:t>Run ARIMA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542925</xdr:colOff>
      <xdr:row>35</xdr:row>
      <xdr:rowOff>71437</xdr:rowOff>
    </xdr:from>
    <xdr:to>
      <xdr:col>9</xdr:col>
      <xdr:colOff>438150</xdr:colOff>
      <xdr:row>51</xdr:row>
      <xdr:rowOff>119062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504825</xdr:colOff>
      <xdr:row>0</xdr:row>
      <xdr:rowOff>147637</xdr:rowOff>
    </xdr:from>
    <xdr:to>
      <xdr:col>20</xdr:col>
      <xdr:colOff>38100</xdr:colOff>
      <xdr:row>17</xdr:row>
      <xdr:rowOff>138112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A12FE-0065-46AA-A791-5FD1FB52C9E6}">
  <sheetPr codeName="Sheet8"/>
  <dimension ref="A1:R77"/>
  <sheetViews>
    <sheetView tabSelected="1" zoomScale="85" zoomScaleNormal="85" workbookViewId="0">
      <selection activeCell="M21" sqref="M21"/>
    </sheetView>
  </sheetViews>
  <sheetFormatPr defaultRowHeight="12.75"/>
  <cols>
    <col min="1" max="1" width="14.28515625" style="1" customWidth="1"/>
    <col min="2" max="2" width="12.42578125" bestFit="1" customWidth="1"/>
    <col min="4" max="4" width="10.42578125" customWidth="1"/>
    <col min="6" max="6" width="9.140625" customWidth="1"/>
    <col min="7" max="7" width="16.140625" customWidth="1"/>
    <col min="8" max="9" width="17.85546875" customWidth="1"/>
    <col min="15" max="15" width="12.7109375" bestFit="1" customWidth="1"/>
    <col min="16" max="16" width="12.28515625" bestFit="1" customWidth="1"/>
    <col min="252" max="252" width="16.140625" bestFit="1" customWidth="1"/>
    <col min="253" max="253" width="17.85546875" bestFit="1" customWidth="1"/>
    <col min="254" max="254" width="9.7109375" bestFit="1" customWidth="1"/>
    <col min="255" max="255" width="11.42578125" customWidth="1"/>
    <col min="256" max="256" width="12" bestFit="1" customWidth="1"/>
    <col min="508" max="508" width="16.140625" bestFit="1" customWidth="1"/>
    <col min="509" max="509" width="17.85546875" bestFit="1" customWidth="1"/>
    <col min="510" max="510" width="9.7109375" bestFit="1" customWidth="1"/>
    <col min="511" max="511" width="11.42578125" customWidth="1"/>
    <col min="512" max="512" width="12" bestFit="1" customWidth="1"/>
    <col min="764" max="764" width="16.140625" bestFit="1" customWidth="1"/>
    <col min="765" max="765" width="17.85546875" bestFit="1" customWidth="1"/>
    <col min="766" max="766" width="9.7109375" bestFit="1" customWidth="1"/>
    <col min="767" max="767" width="11.42578125" customWidth="1"/>
    <col min="768" max="768" width="12" bestFit="1" customWidth="1"/>
    <col min="1020" max="1020" width="16.140625" bestFit="1" customWidth="1"/>
    <col min="1021" max="1021" width="17.85546875" bestFit="1" customWidth="1"/>
    <col min="1022" max="1022" width="9.7109375" bestFit="1" customWidth="1"/>
    <col min="1023" max="1023" width="11.42578125" customWidth="1"/>
    <col min="1024" max="1024" width="12" bestFit="1" customWidth="1"/>
    <col min="1276" max="1276" width="16.140625" bestFit="1" customWidth="1"/>
    <col min="1277" max="1277" width="17.85546875" bestFit="1" customWidth="1"/>
    <col min="1278" max="1278" width="9.7109375" bestFit="1" customWidth="1"/>
    <col min="1279" max="1279" width="11.42578125" customWidth="1"/>
    <col min="1280" max="1280" width="12" bestFit="1" customWidth="1"/>
    <col min="1532" max="1532" width="16.140625" bestFit="1" customWidth="1"/>
    <col min="1533" max="1533" width="17.85546875" bestFit="1" customWidth="1"/>
    <col min="1534" max="1534" width="9.7109375" bestFit="1" customWidth="1"/>
    <col min="1535" max="1535" width="11.42578125" customWidth="1"/>
    <col min="1536" max="1536" width="12" bestFit="1" customWidth="1"/>
    <col min="1788" max="1788" width="16.140625" bestFit="1" customWidth="1"/>
    <col min="1789" max="1789" width="17.85546875" bestFit="1" customWidth="1"/>
    <col min="1790" max="1790" width="9.7109375" bestFit="1" customWidth="1"/>
    <col min="1791" max="1791" width="11.42578125" customWidth="1"/>
    <col min="1792" max="1792" width="12" bestFit="1" customWidth="1"/>
    <col min="2044" max="2044" width="16.140625" bestFit="1" customWidth="1"/>
    <col min="2045" max="2045" width="17.85546875" bestFit="1" customWidth="1"/>
    <col min="2046" max="2046" width="9.7109375" bestFit="1" customWidth="1"/>
    <col min="2047" max="2047" width="11.42578125" customWidth="1"/>
    <col min="2048" max="2048" width="12" bestFit="1" customWidth="1"/>
    <col min="2300" max="2300" width="16.140625" bestFit="1" customWidth="1"/>
    <col min="2301" max="2301" width="17.85546875" bestFit="1" customWidth="1"/>
    <col min="2302" max="2302" width="9.7109375" bestFit="1" customWidth="1"/>
    <col min="2303" max="2303" width="11.42578125" customWidth="1"/>
    <col min="2304" max="2304" width="12" bestFit="1" customWidth="1"/>
    <col min="2556" max="2556" width="16.140625" bestFit="1" customWidth="1"/>
    <col min="2557" max="2557" width="17.85546875" bestFit="1" customWidth="1"/>
    <col min="2558" max="2558" width="9.7109375" bestFit="1" customWidth="1"/>
    <col min="2559" max="2559" width="11.42578125" customWidth="1"/>
    <col min="2560" max="2560" width="12" bestFit="1" customWidth="1"/>
    <col min="2812" max="2812" width="16.140625" bestFit="1" customWidth="1"/>
    <col min="2813" max="2813" width="17.85546875" bestFit="1" customWidth="1"/>
    <col min="2814" max="2814" width="9.7109375" bestFit="1" customWidth="1"/>
    <col min="2815" max="2815" width="11.42578125" customWidth="1"/>
    <col min="2816" max="2816" width="12" bestFit="1" customWidth="1"/>
    <col min="3068" max="3068" width="16.140625" bestFit="1" customWidth="1"/>
    <col min="3069" max="3069" width="17.85546875" bestFit="1" customWidth="1"/>
    <col min="3070" max="3070" width="9.7109375" bestFit="1" customWidth="1"/>
    <col min="3071" max="3071" width="11.42578125" customWidth="1"/>
    <col min="3072" max="3072" width="12" bestFit="1" customWidth="1"/>
    <col min="3324" max="3324" width="16.140625" bestFit="1" customWidth="1"/>
    <col min="3325" max="3325" width="17.85546875" bestFit="1" customWidth="1"/>
    <col min="3326" max="3326" width="9.7109375" bestFit="1" customWidth="1"/>
    <col min="3327" max="3327" width="11.42578125" customWidth="1"/>
    <col min="3328" max="3328" width="12" bestFit="1" customWidth="1"/>
    <col min="3580" max="3580" width="16.140625" bestFit="1" customWidth="1"/>
    <col min="3581" max="3581" width="17.85546875" bestFit="1" customWidth="1"/>
    <col min="3582" max="3582" width="9.7109375" bestFit="1" customWidth="1"/>
    <col min="3583" max="3583" width="11.42578125" customWidth="1"/>
    <col min="3584" max="3584" width="12" bestFit="1" customWidth="1"/>
    <col min="3836" max="3836" width="16.140625" bestFit="1" customWidth="1"/>
    <col min="3837" max="3837" width="17.85546875" bestFit="1" customWidth="1"/>
    <col min="3838" max="3838" width="9.7109375" bestFit="1" customWidth="1"/>
    <col min="3839" max="3839" width="11.42578125" customWidth="1"/>
    <col min="3840" max="3840" width="12" bestFit="1" customWidth="1"/>
    <col min="4092" max="4092" width="16.140625" bestFit="1" customWidth="1"/>
    <col min="4093" max="4093" width="17.85546875" bestFit="1" customWidth="1"/>
    <col min="4094" max="4094" width="9.7109375" bestFit="1" customWidth="1"/>
    <col min="4095" max="4095" width="11.42578125" customWidth="1"/>
    <col min="4096" max="4096" width="12" bestFit="1" customWidth="1"/>
    <col min="4348" max="4348" width="16.140625" bestFit="1" customWidth="1"/>
    <col min="4349" max="4349" width="17.85546875" bestFit="1" customWidth="1"/>
    <col min="4350" max="4350" width="9.7109375" bestFit="1" customWidth="1"/>
    <col min="4351" max="4351" width="11.42578125" customWidth="1"/>
    <col min="4352" max="4352" width="12" bestFit="1" customWidth="1"/>
    <col min="4604" max="4604" width="16.140625" bestFit="1" customWidth="1"/>
    <col min="4605" max="4605" width="17.85546875" bestFit="1" customWidth="1"/>
    <col min="4606" max="4606" width="9.7109375" bestFit="1" customWidth="1"/>
    <col min="4607" max="4607" width="11.42578125" customWidth="1"/>
    <col min="4608" max="4608" width="12" bestFit="1" customWidth="1"/>
    <col min="4860" max="4860" width="16.140625" bestFit="1" customWidth="1"/>
    <col min="4861" max="4861" width="17.85546875" bestFit="1" customWidth="1"/>
    <col min="4862" max="4862" width="9.7109375" bestFit="1" customWidth="1"/>
    <col min="4863" max="4863" width="11.42578125" customWidth="1"/>
    <col min="4864" max="4864" width="12" bestFit="1" customWidth="1"/>
    <col min="5116" max="5116" width="16.140625" bestFit="1" customWidth="1"/>
    <col min="5117" max="5117" width="17.85546875" bestFit="1" customWidth="1"/>
    <col min="5118" max="5118" width="9.7109375" bestFit="1" customWidth="1"/>
    <col min="5119" max="5119" width="11.42578125" customWidth="1"/>
    <col min="5120" max="5120" width="12" bestFit="1" customWidth="1"/>
    <col min="5372" max="5372" width="16.140625" bestFit="1" customWidth="1"/>
    <col min="5373" max="5373" width="17.85546875" bestFit="1" customWidth="1"/>
    <col min="5374" max="5374" width="9.7109375" bestFit="1" customWidth="1"/>
    <col min="5375" max="5375" width="11.42578125" customWidth="1"/>
    <col min="5376" max="5376" width="12" bestFit="1" customWidth="1"/>
    <col min="5628" max="5628" width="16.140625" bestFit="1" customWidth="1"/>
    <col min="5629" max="5629" width="17.85546875" bestFit="1" customWidth="1"/>
    <col min="5630" max="5630" width="9.7109375" bestFit="1" customWidth="1"/>
    <col min="5631" max="5631" width="11.42578125" customWidth="1"/>
    <col min="5632" max="5632" width="12" bestFit="1" customWidth="1"/>
    <col min="5884" max="5884" width="16.140625" bestFit="1" customWidth="1"/>
    <col min="5885" max="5885" width="17.85546875" bestFit="1" customWidth="1"/>
    <col min="5886" max="5886" width="9.7109375" bestFit="1" customWidth="1"/>
    <col min="5887" max="5887" width="11.42578125" customWidth="1"/>
    <col min="5888" max="5888" width="12" bestFit="1" customWidth="1"/>
    <col min="6140" max="6140" width="16.140625" bestFit="1" customWidth="1"/>
    <col min="6141" max="6141" width="17.85546875" bestFit="1" customWidth="1"/>
    <col min="6142" max="6142" width="9.7109375" bestFit="1" customWidth="1"/>
    <col min="6143" max="6143" width="11.42578125" customWidth="1"/>
    <col min="6144" max="6144" width="12" bestFit="1" customWidth="1"/>
    <col min="6396" max="6396" width="16.140625" bestFit="1" customWidth="1"/>
    <col min="6397" max="6397" width="17.85546875" bestFit="1" customWidth="1"/>
    <col min="6398" max="6398" width="9.7109375" bestFit="1" customWidth="1"/>
    <col min="6399" max="6399" width="11.42578125" customWidth="1"/>
    <col min="6400" max="6400" width="12" bestFit="1" customWidth="1"/>
    <col min="6652" max="6652" width="16.140625" bestFit="1" customWidth="1"/>
    <col min="6653" max="6653" width="17.85546875" bestFit="1" customWidth="1"/>
    <col min="6654" max="6654" width="9.7109375" bestFit="1" customWidth="1"/>
    <col min="6655" max="6655" width="11.42578125" customWidth="1"/>
    <col min="6656" max="6656" width="12" bestFit="1" customWidth="1"/>
    <col min="6908" max="6908" width="16.140625" bestFit="1" customWidth="1"/>
    <col min="6909" max="6909" width="17.85546875" bestFit="1" customWidth="1"/>
    <col min="6910" max="6910" width="9.7109375" bestFit="1" customWidth="1"/>
    <col min="6911" max="6911" width="11.42578125" customWidth="1"/>
    <col min="6912" max="6912" width="12" bestFit="1" customWidth="1"/>
    <col min="7164" max="7164" width="16.140625" bestFit="1" customWidth="1"/>
    <col min="7165" max="7165" width="17.85546875" bestFit="1" customWidth="1"/>
    <col min="7166" max="7166" width="9.7109375" bestFit="1" customWidth="1"/>
    <col min="7167" max="7167" width="11.42578125" customWidth="1"/>
    <col min="7168" max="7168" width="12" bestFit="1" customWidth="1"/>
    <col min="7420" max="7420" width="16.140625" bestFit="1" customWidth="1"/>
    <col min="7421" max="7421" width="17.85546875" bestFit="1" customWidth="1"/>
    <col min="7422" max="7422" width="9.7109375" bestFit="1" customWidth="1"/>
    <col min="7423" max="7423" width="11.42578125" customWidth="1"/>
    <col min="7424" max="7424" width="12" bestFit="1" customWidth="1"/>
    <col min="7676" max="7676" width="16.140625" bestFit="1" customWidth="1"/>
    <col min="7677" max="7677" width="17.85546875" bestFit="1" customWidth="1"/>
    <col min="7678" max="7678" width="9.7109375" bestFit="1" customWidth="1"/>
    <col min="7679" max="7679" width="11.42578125" customWidth="1"/>
    <col min="7680" max="7680" width="12" bestFit="1" customWidth="1"/>
    <col min="7932" max="7932" width="16.140625" bestFit="1" customWidth="1"/>
    <col min="7933" max="7933" width="17.85546875" bestFit="1" customWidth="1"/>
    <col min="7934" max="7934" width="9.7109375" bestFit="1" customWidth="1"/>
    <col min="7935" max="7935" width="11.42578125" customWidth="1"/>
    <col min="7936" max="7936" width="12" bestFit="1" customWidth="1"/>
    <col min="8188" max="8188" width="16.140625" bestFit="1" customWidth="1"/>
    <col min="8189" max="8189" width="17.85546875" bestFit="1" customWidth="1"/>
    <col min="8190" max="8190" width="9.7109375" bestFit="1" customWidth="1"/>
    <col min="8191" max="8191" width="11.42578125" customWidth="1"/>
    <col min="8192" max="8192" width="12" bestFit="1" customWidth="1"/>
    <col min="8444" max="8444" width="16.140625" bestFit="1" customWidth="1"/>
    <col min="8445" max="8445" width="17.85546875" bestFit="1" customWidth="1"/>
    <col min="8446" max="8446" width="9.7109375" bestFit="1" customWidth="1"/>
    <col min="8447" max="8447" width="11.42578125" customWidth="1"/>
    <col min="8448" max="8448" width="12" bestFit="1" customWidth="1"/>
    <col min="8700" max="8700" width="16.140625" bestFit="1" customWidth="1"/>
    <col min="8701" max="8701" width="17.85546875" bestFit="1" customWidth="1"/>
    <col min="8702" max="8702" width="9.7109375" bestFit="1" customWidth="1"/>
    <col min="8703" max="8703" width="11.42578125" customWidth="1"/>
    <col min="8704" max="8704" width="12" bestFit="1" customWidth="1"/>
    <col min="8956" max="8956" width="16.140625" bestFit="1" customWidth="1"/>
    <col min="8957" max="8957" width="17.85546875" bestFit="1" customWidth="1"/>
    <col min="8958" max="8958" width="9.7109375" bestFit="1" customWidth="1"/>
    <col min="8959" max="8959" width="11.42578125" customWidth="1"/>
    <col min="8960" max="8960" width="12" bestFit="1" customWidth="1"/>
    <col min="9212" max="9212" width="16.140625" bestFit="1" customWidth="1"/>
    <col min="9213" max="9213" width="17.85546875" bestFit="1" customWidth="1"/>
    <col min="9214" max="9214" width="9.7109375" bestFit="1" customWidth="1"/>
    <col min="9215" max="9215" width="11.42578125" customWidth="1"/>
    <col min="9216" max="9216" width="12" bestFit="1" customWidth="1"/>
    <col min="9468" max="9468" width="16.140625" bestFit="1" customWidth="1"/>
    <col min="9469" max="9469" width="17.85546875" bestFit="1" customWidth="1"/>
    <col min="9470" max="9470" width="9.7109375" bestFit="1" customWidth="1"/>
    <col min="9471" max="9471" width="11.42578125" customWidth="1"/>
    <col min="9472" max="9472" width="12" bestFit="1" customWidth="1"/>
    <col min="9724" max="9724" width="16.140625" bestFit="1" customWidth="1"/>
    <col min="9725" max="9725" width="17.85546875" bestFit="1" customWidth="1"/>
    <col min="9726" max="9726" width="9.7109375" bestFit="1" customWidth="1"/>
    <col min="9727" max="9727" width="11.42578125" customWidth="1"/>
    <col min="9728" max="9728" width="12" bestFit="1" customWidth="1"/>
    <col min="9980" max="9980" width="16.140625" bestFit="1" customWidth="1"/>
    <col min="9981" max="9981" width="17.85546875" bestFit="1" customWidth="1"/>
    <col min="9982" max="9982" width="9.7109375" bestFit="1" customWidth="1"/>
    <col min="9983" max="9983" width="11.42578125" customWidth="1"/>
    <col min="9984" max="9984" width="12" bestFit="1" customWidth="1"/>
    <col min="10236" max="10236" width="16.140625" bestFit="1" customWidth="1"/>
    <col min="10237" max="10237" width="17.85546875" bestFit="1" customWidth="1"/>
    <col min="10238" max="10238" width="9.7109375" bestFit="1" customWidth="1"/>
    <col min="10239" max="10239" width="11.42578125" customWidth="1"/>
    <col min="10240" max="10240" width="12" bestFit="1" customWidth="1"/>
    <col min="10492" max="10492" width="16.140625" bestFit="1" customWidth="1"/>
    <col min="10493" max="10493" width="17.85546875" bestFit="1" customWidth="1"/>
    <col min="10494" max="10494" width="9.7109375" bestFit="1" customWidth="1"/>
    <col min="10495" max="10495" width="11.42578125" customWidth="1"/>
    <col min="10496" max="10496" width="12" bestFit="1" customWidth="1"/>
    <col min="10748" max="10748" width="16.140625" bestFit="1" customWidth="1"/>
    <col min="10749" max="10749" width="17.85546875" bestFit="1" customWidth="1"/>
    <col min="10750" max="10750" width="9.7109375" bestFit="1" customWidth="1"/>
    <col min="10751" max="10751" width="11.42578125" customWidth="1"/>
    <col min="10752" max="10752" width="12" bestFit="1" customWidth="1"/>
    <col min="11004" max="11004" width="16.140625" bestFit="1" customWidth="1"/>
    <col min="11005" max="11005" width="17.85546875" bestFit="1" customWidth="1"/>
    <col min="11006" max="11006" width="9.7109375" bestFit="1" customWidth="1"/>
    <col min="11007" max="11007" width="11.42578125" customWidth="1"/>
    <col min="11008" max="11008" width="12" bestFit="1" customWidth="1"/>
    <col min="11260" max="11260" width="16.140625" bestFit="1" customWidth="1"/>
    <col min="11261" max="11261" width="17.85546875" bestFit="1" customWidth="1"/>
    <col min="11262" max="11262" width="9.7109375" bestFit="1" customWidth="1"/>
    <col min="11263" max="11263" width="11.42578125" customWidth="1"/>
    <col min="11264" max="11264" width="12" bestFit="1" customWidth="1"/>
    <col min="11516" max="11516" width="16.140625" bestFit="1" customWidth="1"/>
    <col min="11517" max="11517" width="17.85546875" bestFit="1" customWidth="1"/>
    <col min="11518" max="11518" width="9.7109375" bestFit="1" customWidth="1"/>
    <col min="11519" max="11519" width="11.42578125" customWidth="1"/>
    <col min="11520" max="11520" width="12" bestFit="1" customWidth="1"/>
    <col min="11772" max="11772" width="16.140625" bestFit="1" customWidth="1"/>
    <col min="11773" max="11773" width="17.85546875" bestFit="1" customWidth="1"/>
    <col min="11774" max="11774" width="9.7109375" bestFit="1" customWidth="1"/>
    <col min="11775" max="11775" width="11.42578125" customWidth="1"/>
    <col min="11776" max="11776" width="12" bestFit="1" customWidth="1"/>
    <col min="12028" max="12028" width="16.140625" bestFit="1" customWidth="1"/>
    <col min="12029" max="12029" width="17.85546875" bestFit="1" customWidth="1"/>
    <col min="12030" max="12030" width="9.7109375" bestFit="1" customWidth="1"/>
    <col min="12031" max="12031" width="11.42578125" customWidth="1"/>
    <col min="12032" max="12032" width="12" bestFit="1" customWidth="1"/>
    <col min="12284" max="12284" width="16.140625" bestFit="1" customWidth="1"/>
    <col min="12285" max="12285" width="17.85546875" bestFit="1" customWidth="1"/>
    <col min="12286" max="12286" width="9.7109375" bestFit="1" customWidth="1"/>
    <col min="12287" max="12287" width="11.42578125" customWidth="1"/>
    <col min="12288" max="12288" width="12" bestFit="1" customWidth="1"/>
    <col min="12540" max="12540" width="16.140625" bestFit="1" customWidth="1"/>
    <col min="12541" max="12541" width="17.85546875" bestFit="1" customWidth="1"/>
    <col min="12542" max="12542" width="9.7109375" bestFit="1" customWidth="1"/>
    <col min="12543" max="12543" width="11.42578125" customWidth="1"/>
    <col min="12544" max="12544" width="12" bestFit="1" customWidth="1"/>
    <col min="12796" max="12796" width="16.140625" bestFit="1" customWidth="1"/>
    <col min="12797" max="12797" width="17.85546875" bestFit="1" customWidth="1"/>
    <col min="12798" max="12798" width="9.7109375" bestFit="1" customWidth="1"/>
    <col min="12799" max="12799" width="11.42578125" customWidth="1"/>
    <col min="12800" max="12800" width="12" bestFit="1" customWidth="1"/>
    <col min="13052" max="13052" width="16.140625" bestFit="1" customWidth="1"/>
    <col min="13053" max="13053" width="17.85546875" bestFit="1" customWidth="1"/>
    <col min="13054" max="13054" width="9.7109375" bestFit="1" customWidth="1"/>
    <col min="13055" max="13055" width="11.42578125" customWidth="1"/>
    <col min="13056" max="13056" width="12" bestFit="1" customWidth="1"/>
    <col min="13308" max="13308" width="16.140625" bestFit="1" customWidth="1"/>
    <col min="13309" max="13309" width="17.85546875" bestFit="1" customWidth="1"/>
    <col min="13310" max="13310" width="9.7109375" bestFit="1" customWidth="1"/>
    <col min="13311" max="13311" width="11.42578125" customWidth="1"/>
    <col min="13312" max="13312" width="12" bestFit="1" customWidth="1"/>
    <col min="13564" max="13564" width="16.140625" bestFit="1" customWidth="1"/>
    <col min="13565" max="13565" width="17.85546875" bestFit="1" customWidth="1"/>
    <col min="13566" max="13566" width="9.7109375" bestFit="1" customWidth="1"/>
    <col min="13567" max="13567" width="11.42578125" customWidth="1"/>
    <col min="13568" max="13568" width="12" bestFit="1" customWidth="1"/>
    <col min="13820" max="13820" width="16.140625" bestFit="1" customWidth="1"/>
    <col min="13821" max="13821" width="17.85546875" bestFit="1" customWidth="1"/>
    <col min="13822" max="13822" width="9.7109375" bestFit="1" customWidth="1"/>
    <col min="13823" max="13823" width="11.42578125" customWidth="1"/>
    <col min="13824" max="13824" width="12" bestFit="1" customWidth="1"/>
    <col min="14076" max="14076" width="16.140625" bestFit="1" customWidth="1"/>
    <col min="14077" max="14077" width="17.85546875" bestFit="1" customWidth="1"/>
    <col min="14078" max="14078" width="9.7109375" bestFit="1" customWidth="1"/>
    <col min="14079" max="14079" width="11.42578125" customWidth="1"/>
    <col min="14080" max="14080" width="12" bestFit="1" customWidth="1"/>
    <col min="14332" max="14332" width="16.140625" bestFit="1" customWidth="1"/>
    <col min="14333" max="14333" width="17.85546875" bestFit="1" customWidth="1"/>
    <col min="14334" max="14334" width="9.7109375" bestFit="1" customWidth="1"/>
    <col min="14335" max="14335" width="11.42578125" customWidth="1"/>
    <col min="14336" max="14336" width="12" bestFit="1" customWidth="1"/>
    <col min="14588" max="14588" width="16.140625" bestFit="1" customWidth="1"/>
    <col min="14589" max="14589" width="17.85546875" bestFit="1" customWidth="1"/>
    <col min="14590" max="14590" width="9.7109375" bestFit="1" customWidth="1"/>
    <col min="14591" max="14591" width="11.42578125" customWidth="1"/>
    <col min="14592" max="14592" width="12" bestFit="1" customWidth="1"/>
    <col min="14844" max="14844" width="16.140625" bestFit="1" customWidth="1"/>
    <col min="14845" max="14845" width="17.85546875" bestFit="1" customWidth="1"/>
    <col min="14846" max="14846" width="9.7109375" bestFit="1" customWidth="1"/>
    <col min="14847" max="14847" width="11.42578125" customWidth="1"/>
    <col min="14848" max="14848" width="12" bestFit="1" customWidth="1"/>
    <col min="15100" max="15100" width="16.140625" bestFit="1" customWidth="1"/>
    <col min="15101" max="15101" width="17.85546875" bestFit="1" customWidth="1"/>
    <col min="15102" max="15102" width="9.7109375" bestFit="1" customWidth="1"/>
    <col min="15103" max="15103" width="11.42578125" customWidth="1"/>
    <col min="15104" max="15104" width="12" bestFit="1" customWidth="1"/>
    <col min="15356" max="15356" width="16.140625" bestFit="1" customWidth="1"/>
    <col min="15357" max="15357" width="17.85546875" bestFit="1" customWidth="1"/>
    <col min="15358" max="15358" width="9.7109375" bestFit="1" customWidth="1"/>
    <col min="15359" max="15359" width="11.42578125" customWidth="1"/>
    <col min="15360" max="15360" width="12" bestFit="1" customWidth="1"/>
    <col min="15612" max="15612" width="16.140625" bestFit="1" customWidth="1"/>
    <col min="15613" max="15613" width="17.85546875" bestFit="1" customWidth="1"/>
    <col min="15614" max="15614" width="9.7109375" bestFit="1" customWidth="1"/>
    <col min="15615" max="15615" width="11.42578125" customWidth="1"/>
    <col min="15616" max="15616" width="12" bestFit="1" customWidth="1"/>
    <col min="15868" max="15868" width="16.140625" bestFit="1" customWidth="1"/>
    <col min="15869" max="15869" width="17.85546875" bestFit="1" customWidth="1"/>
    <col min="15870" max="15870" width="9.7109375" bestFit="1" customWidth="1"/>
    <col min="15871" max="15871" width="11.42578125" customWidth="1"/>
    <col min="15872" max="15872" width="12" bestFit="1" customWidth="1"/>
    <col min="16124" max="16124" width="16.140625" bestFit="1" customWidth="1"/>
    <col min="16125" max="16125" width="17.85546875" bestFit="1" customWidth="1"/>
    <col min="16126" max="16126" width="9.7109375" bestFit="1" customWidth="1"/>
    <col min="16127" max="16127" width="11.42578125" customWidth="1"/>
    <col min="16128" max="16128" width="12" bestFit="1" customWidth="1"/>
  </cols>
  <sheetData>
    <row r="1" spans="1:16">
      <c r="A1" s="37"/>
      <c r="B1" s="38"/>
      <c r="C1" s="38"/>
      <c r="D1" s="38"/>
      <c r="E1" s="38"/>
      <c r="F1" s="38"/>
      <c r="G1" s="38"/>
      <c r="H1" s="38"/>
      <c r="I1" s="38"/>
      <c r="J1" s="39"/>
    </row>
    <row r="2" spans="1:16">
      <c r="A2" s="40"/>
      <c r="B2" s="41"/>
      <c r="C2" s="41"/>
      <c r="D2" s="41"/>
      <c r="E2" s="41"/>
      <c r="F2" s="41"/>
      <c r="G2" s="41"/>
      <c r="H2" s="41"/>
      <c r="I2" s="41"/>
      <c r="J2" s="42"/>
    </row>
    <row r="3" spans="1:16" ht="15.75" thickBot="1">
      <c r="A3" s="40"/>
      <c r="B3" s="43" t="s">
        <v>37</v>
      </c>
      <c r="C3" s="43"/>
      <c r="D3" s="43"/>
      <c r="E3" s="43"/>
      <c r="F3" s="43"/>
      <c r="G3" s="43"/>
      <c r="H3" s="43"/>
      <c r="I3" s="44"/>
      <c r="J3" s="42"/>
    </row>
    <row r="4" spans="1:16" ht="12.75" customHeight="1" thickBot="1">
      <c r="A4" s="40"/>
      <c r="B4" s="45" t="s">
        <v>38</v>
      </c>
      <c r="C4" s="45"/>
      <c r="D4" s="45"/>
      <c r="E4" s="45"/>
      <c r="F4" s="45"/>
      <c r="G4" s="45"/>
      <c r="H4" s="45"/>
      <c r="I4" s="45"/>
      <c r="J4" s="42"/>
      <c r="O4" s="30" t="s">
        <v>58</v>
      </c>
      <c r="P4" s="31"/>
    </row>
    <row r="5" spans="1:16">
      <c r="A5" s="40"/>
      <c r="B5" s="45"/>
      <c r="C5" s="45"/>
      <c r="D5" s="45"/>
      <c r="E5" s="45"/>
      <c r="F5" s="45"/>
      <c r="G5" s="45"/>
      <c r="H5" s="45"/>
      <c r="I5" s="45"/>
      <c r="J5" s="42"/>
      <c r="O5" s="57" t="s">
        <v>21</v>
      </c>
      <c r="P5" s="58" t="s">
        <v>22</v>
      </c>
    </row>
    <row r="6" spans="1:16">
      <c r="A6" s="40"/>
      <c r="B6" s="45"/>
      <c r="C6" s="45"/>
      <c r="D6" s="45"/>
      <c r="E6" s="45"/>
      <c r="F6" s="45"/>
      <c r="G6" s="45"/>
      <c r="H6" s="45"/>
      <c r="I6" s="45"/>
      <c r="J6" s="42"/>
      <c r="O6" s="59">
        <v>1</v>
      </c>
      <c r="P6" s="9">
        <v>0.2</v>
      </c>
    </row>
    <row r="7" spans="1:16">
      <c r="A7" s="40"/>
      <c r="B7" s="45"/>
      <c r="C7" s="45"/>
      <c r="D7" s="45"/>
      <c r="E7" s="45"/>
      <c r="F7" s="45"/>
      <c r="G7" s="45"/>
      <c r="H7" s="45"/>
      <c r="I7" s="45"/>
      <c r="J7" s="42"/>
      <c r="O7" s="59">
        <v>2</v>
      </c>
      <c r="P7" s="9">
        <v>0.65890000000000004</v>
      </c>
    </row>
    <row r="8" spans="1:16">
      <c r="A8" s="40"/>
      <c r="B8" s="45"/>
      <c r="C8" s="45"/>
      <c r="D8" s="45"/>
      <c r="E8" s="45"/>
      <c r="F8" s="45"/>
      <c r="G8" s="45"/>
      <c r="H8" s="45"/>
      <c r="I8" s="45"/>
      <c r="J8" s="42"/>
      <c r="O8" s="59">
        <v>3</v>
      </c>
      <c r="P8" s="9">
        <v>1.1177999999999999</v>
      </c>
    </row>
    <row r="9" spans="1:16">
      <c r="A9" s="40"/>
      <c r="B9" s="45"/>
      <c r="C9" s="45"/>
      <c r="D9" s="45"/>
      <c r="E9" s="45"/>
      <c r="F9" s="45"/>
      <c r="G9" s="45"/>
      <c r="H9" s="45"/>
      <c r="I9" s="45"/>
      <c r="J9" s="42"/>
      <c r="O9" s="59">
        <v>4</v>
      </c>
      <c r="P9" s="9">
        <v>1.5766999999999998</v>
      </c>
    </row>
    <row r="10" spans="1:16">
      <c r="A10" s="40"/>
      <c r="B10" s="46"/>
      <c r="C10" s="46"/>
      <c r="D10" s="46"/>
      <c r="E10" s="46"/>
      <c r="F10" s="46"/>
      <c r="G10" s="46"/>
      <c r="H10" s="46"/>
      <c r="I10" s="47"/>
      <c r="J10" s="42"/>
      <c r="O10" s="59">
        <v>5</v>
      </c>
      <c r="P10" s="9">
        <v>2.0355999999999996</v>
      </c>
    </row>
    <row r="11" spans="1:16" ht="15">
      <c r="A11" s="40"/>
      <c r="B11" s="43" t="s">
        <v>39</v>
      </c>
      <c r="C11" s="43"/>
      <c r="D11" s="43"/>
      <c r="E11" s="43"/>
      <c r="F11" s="43"/>
      <c r="G11" s="43"/>
      <c r="H11" s="43"/>
      <c r="I11" s="43"/>
      <c r="J11" s="42"/>
      <c r="O11" s="59">
        <v>6</v>
      </c>
      <c r="P11" s="9">
        <v>2.4944999999999995</v>
      </c>
    </row>
    <row r="12" spans="1:16">
      <c r="A12" s="40"/>
      <c r="B12" s="48" t="s">
        <v>60</v>
      </c>
      <c r="C12" s="48"/>
      <c r="D12" s="48"/>
      <c r="E12" s="48"/>
      <c r="F12" s="48"/>
      <c r="G12" s="48"/>
      <c r="H12" s="48"/>
      <c r="I12" s="48"/>
      <c r="J12" s="42"/>
      <c r="O12" s="59">
        <v>7</v>
      </c>
      <c r="P12" s="9">
        <v>2.9533999999999994</v>
      </c>
    </row>
    <row r="13" spans="1:16" ht="12.75" customHeight="1">
      <c r="A13" s="40"/>
      <c r="B13" s="48"/>
      <c r="C13" s="48"/>
      <c r="D13" s="48"/>
      <c r="E13" s="48"/>
      <c r="F13" s="48"/>
      <c r="G13" s="48"/>
      <c r="H13" s="48"/>
      <c r="I13" s="48"/>
      <c r="J13" s="42"/>
      <c r="O13" s="59">
        <v>8</v>
      </c>
      <c r="P13" s="9">
        <v>3.4122999999999992</v>
      </c>
    </row>
    <row r="14" spans="1:16">
      <c r="A14" s="40"/>
      <c r="B14" s="48"/>
      <c r="C14" s="48"/>
      <c r="D14" s="48"/>
      <c r="E14" s="48"/>
      <c r="F14" s="48"/>
      <c r="G14" s="48"/>
      <c r="H14" s="48"/>
      <c r="I14" s="48"/>
      <c r="J14" s="42"/>
      <c r="O14" s="59">
        <v>9</v>
      </c>
      <c r="P14" s="9">
        <v>3.8711999999999991</v>
      </c>
    </row>
    <row r="15" spans="1:16">
      <c r="A15" s="40"/>
      <c r="B15" s="48"/>
      <c r="C15" s="48"/>
      <c r="D15" s="48"/>
      <c r="E15" s="48"/>
      <c r="F15" s="48"/>
      <c r="G15" s="48"/>
      <c r="H15" s="48"/>
      <c r="I15" s="48"/>
      <c r="J15" s="42"/>
      <c r="O15" s="59">
        <v>10</v>
      </c>
      <c r="P15" s="9">
        <v>3.4122999999999992</v>
      </c>
    </row>
    <row r="16" spans="1:16">
      <c r="A16" s="40"/>
      <c r="B16" s="48"/>
      <c r="C16" s="48"/>
      <c r="D16" s="48"/>
      <c r="E16" s="48"/>
      <c r="F16" s="48"/>
      <c r="G16" s="48"/>
      <c r="H16" s="48"/>
      <c r="I16" s="48"/>
      <c r="J16" s="42"/>
      <c r="O16" s="59">
        <v>11</v>
      </c>
      <c r="P16" s="9">
        <v>2.9533999999999994</v>
      </c>
    </row>
    <row r="17" spans="1:16">
      <c r="A17" s="40"/>
      <c r="B17" s="48"/>
      <c r="C17" s="48"/>
      <c r="D17" s="48"/>
      <c r="E17" s="48"/>
      <c r="F17" s="48"/>
      <c r="G17" s="48"/>
      <c r="H17" s="48"/>
      <c r="I17" s="48"/>
      <c r="J17" s="42"/>
      <c r="O17" s="59">
        <v>12</v>
      </c>
      <c r="P17" s="9">
        <v>2.4944999999999995</v>
      </c>
    </row>
    <row r="18" spans="1:16">
      <c r="A18" s="40"/>
      <c r="B18" s="48"/>
      <c r="C18" s="48"/>
      <c r="D18" s="48"/>
      <c r="E18" s="48"/>
      <c r="F18" s="48"/>
      <c r="G18" s="48"/>
      <c r="H18" s="48"/>
      <c r="I18" s="48"/>
      <c r="J18" s="42"/>
      <c r="O18" s="59">
        <v>13</v>
      </c>
      <c r="P18" s="9">
        <v>2.0355999999999996</v>
      </c>
    </row>
    <row r="19" spans="1:16">
      <c r="A19" s="40"/>
      <c r="B19" s="48"/>
      <c r="C19" s="48"/>
      <c r="D19" s="48"/>
      <c r="E19" s="48"/>
      <c r="F19" s="48"/>
      <c r="G19" s="48"/>
      <c r="H19" s="48"/>
      <c r="I19" s="48"/>
      <c r="J19" s="42"/>
      <c r="O19" s="59">
        <v>14</v>
      </c>
      <c r="P19" s="9">
        <v>1.5766999999999998</v>
      </c>
    </row>
    <row r="20" spans="1:16">
      <c r="A20" s="40"/>
      <c r="B20" s="41"/>
      <c r="C20" s="41"/>
      <c r="D20" s="41"/>
      <c r="E20" s="41"/>
      <c r="F20" s="41"/>
      <c r="G20" s="41"/>
      <c r="H20" s="41"/>
      <c r="I20" s="41"/>
      <c r="J20" s="42"/>
      <c r="O20" s="59">
        <v>15</v>
      </c>
      <c r="P20" s="9">
        <v>2.0355999999999996</v>
      </c>
    </row>
    <row r="21" spans="1:16">
      <c r="A21" s="40"/>
      <c r="B21" s="41"/>
      <c r="C21" s="41"/>
      <c r="D21" s="41"/>
      <c r="E21" s="41"/>
      <c r="F21" s="41"/>
      <c r="G21" s="41"/>
      <c r="H21" s="41"/>
      <c r="I21" s="41"/>
      <c r="J21" s="42"/>
      <c r="O21" s="59">
        <v>16</v>
      </c>
      <c r="P21" s="9">
        <v>2.4944999999999995</v>
      </c>
    </row>
    <row r="22" spans="1:16" ht="13.5" customHeight="1">
      <c r="A22" s="40"/>
      <c r="B22" s="27" t="s">
        <v>40</v>
      </c>
      <c r="C22" s="27"/>
      <c r="D22" s="27"/>
      <c r="E22" s="27"/>
      <c r="F22" s="27"/>
      <c r="G22" s="27"/>
      <c r="H22" s="27"/>
      <c r="I22" s="27"/>
      <c r="J22" s="42"/>
      <c r="O22" s="59">
        <v>17</v>
      </c>
      <c r="P22" s="9">
        <v>2.9533999999999994</v>
      </c>
    </row>
    <row r="23" spans="1:16" ht="13.5" customHeight="1">
      <c r="A23" s="40"/>
      <c r="J23" s="42"/>
      <c r="O23" s="59">
        <v>18</v>
      </c>
      <c r="P23" s="9">
        <v>3.4122999999999992</v>
      </c>
    </row>
    <row r="24" spans="1:16">
      <c r="A24" s="40"/>
      <c r="B24" s="41"/>
      <c r="C24" s="41"/>
      <c r="D24" s="41"/>
      <c r="E24" s="41"/>
      <c r="F24" s="41"/>
      <c r="G24" s="41"/>
      <c r="H24" s="41"/>
      <c r="I24" s="41"/>
      <c r="J24" s="42"/>
      <c r="O24" s="59">
        <v>19</v>
      </c>
      <c r="P24" s="9">
        <v>3.8711999999999991</v>
      </c>
    </row>
    <row r="25" spans="1:16" ht="13.5" customHeight="1" thickBot="1">
      <c r="A25" s="40"/>
      <c r="B25" s="41"/>
      <c r="C25" s="41"/>
      <c r="D25" s="41"/>
      <c r="E25" s="41"/>
      <c r="F25" s="41"/>
      <c r="G25" s="29" t="s">
        <v>54</v>
      </c>
      <c r="H25" s="29"/>
      <c r="I25" s="29"/>
      <c r="J25" s="49"/>
      <c r="M25" s="11">
        <v>1</v>
      </c>
      <c r="O25" s="59">
        <v>20</v>
      </c>
      <c r="P25" s="9">
        <v>4.3300999999999989</v>
      </c>
    </row>
    <row r="26" spans="1:16" ht="13.5" customHeight="1" thickBot="1">
      <c r="A26" s="40"/>
      <c r="B26" s="50" t="s">
        <v>42</v>
      </c>
      <c r="C26" s="50"/>
      <c r="D26" s="50"/>
      <c r="E26" s="25">
        <v>5</v>
      </c>
      <c r="F26" s="41"/>
      <c r="G26" s="29"/>
      <c r="H26" s="29"/>
      <c r="I26" s="29"/>
      <c r="J26" s="49"/>
      <c r="M26" s="11">
        <v>2</v>
      </c>
      <c r="O26" s="59">
        <v>21</v>
      </c>
      <c r="P26" s="9">
        <v>4.7889999999999988</v>
      </c>
    </row>
    <row r="27" spans="1:16">
      <c r="A27" s="40"/>
      <c r="B27" s="51" t="s">
        <v>43</v>
      </c>
      <c r="C27" s="51"/>
      <c r="D27" s="51"/>
      <c r="E27" s="41"/>
      <c r="F27" s="41"/>
      <c r="G27" s="29"/>
      <c r="H27" s="29"/>
      <c r="I27" s="29"/>
      <c r="J27" s="49"/>
      <c r="M27" s="11">
        <v>3</v>
      </c>
      <c r="O27" s="59">
        <v>22</v>
      </c>
      <c r="P27" s="9">
        <v>5.2478999999999987</v>
      </c>
    </row>
    <row r="28" spans="1:16" ht="13.5" thickBot="1">
      <c r="A28" s="40"/>
      <c r="B28" s="41"/>
      <c r="C28" s="41"/>
      <c r="D28" s="41"/>
      <c r="E28" s="41"/>
      <c r="F28" s="41"/>
      <c r="G28" s="41"/>
      <c r="H28" s="52"/>
      <c r="I28" s="52"/>
      <c r="J28" s="42"/>
      <c r="M28" s="11">
        <v>4</v>
      </c>
      <c r="O28" s="59">
        <v>23</v>
      </c>
      <c r="P28" s="9">
        <v>5.7067999999999985</v>
      </c>
    </row>
    <row r="29" spans="1:16" ht="12.75" customHeight="1" thickBot="1">
      <c r="A29" s="40"/>
      <c r="B29" s="50" t="s">
        <v>57</v>
      </c>
      <c r="C29" s="50"/>
      <c r="D29" s="50"/>
      <c r="E29" s="25">
        <v>10</v>
      </c>
      <c r="F29" s="41"/>
      <c r="G29" s="41"/>
      <c r="H29" s="41"/>
      <c r="I29" s="41"/>
      <c r="J29" s="42"/>
      <c r="M29" s="11">
        <v>5</v>
      </c>
      <c r="O29" s="59">
        <v>24</v>
      </c>
      <c r="P29" s="9">
        <v>6.1656999999999984</v>
      </c>
    </row>
    <row r="30" spans="1:16" ht="12.75" customHeight="1">
      <c r="A30" s="40"/>
      <c r="B30" s="51" t="s">
        <v>43</v>
      </c>
      <c r="C30" s="51"/>
      <c r="D30" s="51"/>
      <c r="E30" s="41"/>
      <c r="F30" s="41"/>
      <c r="G30" s="41"/>
      <c r="H30" s="41"/>
      <c r="I30" s="41"/>
      <c r="J30" s="42"/>
      <c r="M30" s="11">
        <v>6</v>
      </c>
      <c r="O30" s="59">
        <v>25</v>
      </c>
      <c r="P30" s="9">
        <v>5.7067999999999985</v>
      </c>
    </row>
    <row r="31" spans="1:16" ht="12.75" customHeight="1">
      <c r="A31" s="40"/>
      <c r="B31" s="51"/>
      <c r="C31" s="51"/>
      <c r="D31" s="51"/>
      <c r="E31" s="41"/>
      <c r="F31" s="41"/>
      <c r="G31" s="41"/>
      <c r="H31" s="41"/>
      <c r="I31" s="41"/>
      <c r="J31" s="42"/>
      <c r="M31" s="11">
        <v>7</v>
      </c>
      <c r="O31" s="59">
        <v>26</v>
      </c>
      <c r="P31" s="9">
        <v>5.2478999999999987</v>
      </c>
    </row>
    <row r="32" spans="1:16" ht="12.75" customHeight="1">
      <c r="A32" s="40"/>
      <c r="B32" s="51"/>
      <c r="C32" s="51"/>
      <c r="D32" s="51"/>
      <c r="E32" s="41"/>
      <c r="F32" s="41"/>
      <c r="G32" s="41"/>
      <c r="H32" s="41"/>
      <c r="I32" s="41"/>
      <c r="J32" s="42"/>
      <c r="M32" s="11">
        <v>8</v>
      </c>
      <c r="O32" s="59">
        <v>27</v>
      </c>
      <c r="P32" s="9">
        <v>4.7889999999999988</v>
      </c>
    </row>
    <row r="33" spans="1:18" ht="12.75" customHeight="1">
      <c r="A33" s="40"/>
      <c r="B33" s="51"/>
      <c r="C33" s="51"/>
      <c r="D33" s="51"/>
      <c r="E33" s="41"/>
      <c r="F33" s="41"/>
      <c r="G33" s="41"/>
      <c r="H33" s="41"/>
      <c r="I33" s="41"/>
      <c r="J33" s="42"/>
      <c r="M33" s="11">
        <v>9</v>
      </c>
      <c r="O33" s="59">
        <v>28</v>
      </c>
      <c r="P33" s="9">
        <v>4.3300999999999989</v>
      </c>
      <c r="R33" s="21"/>
    </row>
    <row r="34" spans="1:18">
      <c r="A34" s="40"/>
      <c r="B34" s="46"/>
      <c r="C34" s="46"/>
      <c r="D34" s="41"/>
      <c r="E34" s="41"/>
      <c r="F34" s="41"/>
      <c r="G34" s="41"/>
      <c r="H34" s="41"/>
      <c r="I34" s="41"/>
      <c r="J34" s="42"/>
      <c r="M34" s="11">
        <v>10</v>
      </c>
      <c r="O34" s="59">
        <v>29</v>
      </c>
      <c r="P34" s="9">
        <v>3.8711999999999991</v>
      </c>
    </row>
    <row r="35" spans="1:18" ht="15">
      <c r="A35" s="40"/>
      <c r="B35" s="27" t="s">
        <v>41</v>
      </c>
      <c r="C35" s="27"/>
      <c r="D35" s="27"/>
      <c r="E35" s="27"/>
      <c r="F35" s="27"/>
      <c r="G35" s="27"/>
      <c r="H35" s="27"/>
      <c r="I35" s="27"/>
      <c r="J35" s="42"/>
      <c r="O35" s="59">
        <v>30</v>
      </c>
      <c r="P35" s="9">
        <v>3.4122999999999992</v>
      </c>
    </row>
    <row r="36" spans="1:18" ht="13.5" thickBot="1">
      <c r="A36" s="40"/>
      <c r="B36" s="41"/>
      <c r="C36" s="41"/>
      <c r="D36" s="41"/>
      <c r="E36" s="41"/>
      <c r="F36" s="41"/>
      <c r="G36" s="41"/>
      <c r="H36" s="41"/>
      <c r="I36" s="41"/>
      <c r="J36" s="42"/>
      <c r="O36" s="59">
        <v>31</v>
      </c>
      <c r="P36" s="9">
        <v>2.9533999999999994</v>
      </c>
    </row>
    <row r="37" spans="1:18" ht="13.5" thickBot="1">
      <c r="A37" s="40"/>
      <c r="B37" s="28" t="s">
        <v>44</v>
      </c>
      <c r="C37" s="28"/>
      <c r="D37" s="26">
        <f>'ARIMA Formulas'!C73</f>
        <v>6.2759907325366102</v>
      </c>
      <c r="E37" s="41"/>
      <c r="F37" s="41"/>
      <c r="G37" s="41"/>
      <c r="H37" s="41"/>
      <c r="I37" s="41"/>
      <c r="J37" s="42"/>
      <c r="O37" s="59">
        <v>32</v>
      </c>
      <c r="P37" s="9">
        <v>2.4944999999999995</v>
      </c>
    </row>
    <row r="38" spans="1:18" ht="13.5" thickBot="1">
      <c r="A38" s="40"/>
      <c r="B38" s="28" t="s">
        <v>45</v>
      </c>
      <c r="C38" s="28"/>
      <c r="D38" s="26">
        <f>IF(E29&gt;1,'ARIMA Formulas'!C74,0)</f>
        <v>6.1533005789070456</v>
      </c>
      <c r="E38" s="41"/>
      <c r="F38" s="41"/>
      <c r="G38" s="41"/>
      <c r="H38" s="41"/>
      <c r="I38" s="41"/>
      <c r="J38" s="42"/>
      <c r="O38" s="59">
        <v>33</v>
      </c>
      <c r="P38" s="9">
        <v>2.9533999999999994</v>
      </c>
    </row>
    <row r="39" spans="1:18" ht="13.5" thickBot="1">
      <c r="A39" s="40"/>
      <c r="B39" s="28" t="s">
        <v>46</v>
      </c>
      <c r="C39" s="28"/>
      <c r="D39" s="26">
        <f>IF(E29&gt;2,'ARIMA Formulas'!C75,0)</f>
        <v>5.8745339643922208</v>
      </c>
      <c r="E39" s="41"/>
      <c r="F39" s="41"/>
      <c r="G39" s="41"/>
      <c r="H39" s="41"/>
      <c r="I39" s="41"/>
      <c r="J39" s="42"/>
      <c r="O39" s="59">
        <v>34</v>
      </c>
      <c r="P39" s="9">
        <v>3.4122999999999992</v>
      </c>
    </row>
    <row r="40" spans="1:18" ht="13.5" thickBot="1">
      <c r="A40" s="40"/>
      <c r="B40" s="28" t="s">
        <v>47</v>
      </c>
      <c r="C40" s="28"/>
      <c r="D40" s="26">
        <f>IF(E29&gt;3,'ARIMA Formulas'!C76,0)</f>
        <v>5.4946169380597789</v>
      </c>
      <c r="E40" s="41"/>
      <c r="F40" s="41"/>
      <c r="G40" s="41"/>
      <c r="H40" s="41"/>
      <c r="I40" s="41"/>
      <c r="J40" s="42"/>
      <c r="O40" s="59">
        <v>35</v>
      </c>
      <c r="P40" s="9">
        <v>3.8711999999999991</v>
      </c>
    </row>
    <row r="41" spans="1:18" ht="13.5" thickBot="1">
      <c r="A41" s="40"/>
      <c r="B41" s="28" t="s">
        <v>48</v>
      </c>
      <c r="C41" s="28"/>
      <c r="D41" s="26">
        <f>IF(E29&gt;4,'ARIMA Formulas'!C77,0)</f>
        <v>5.049276901167131</v>
      </c>
      <c r="E41" s="41"/>
      <c r="F41" s="41"/>
      <c r="G41" s="41"/>
      <c r="H41" s="41"/>
      <c r="I41" s="41"/>
      <c r="J41" s="42"/>
      <c r="O41" s="59">
        <v>36</v>
      </c>
      <c r="P41" s="9">
        <v>4.3300999999999989</v>
      </c>
    </row>
    <row r="42" spans="1:18" ht="13.5" thickBot="1">
      <c r="A42" s="40"/>
      <c r="B42" s="28" t="s">
        <v>49</v>
      </c>
      <c r="C42" s="28"/>
      <c r="D42" s="26">
        <f>IF(E29&gt;5,'ARIMA Formulas'!C78,0)</f>
        <v>4.6801928375837436</v>
      </c>
      <c r="E42" s="41"/>
      <c r="F42" s="41"/>
      <c r="G42" s="41"/>
      <c r="H42" s="41"/>
      <c r="I42" s="41"/>
      <c r="J42" s="42"/>
      <c r="O42" s="59">
        <v>37</v>
      </c>
      <c r="P42" s="9">
        <v>4.7889999999999988</v>
      </c>
    </row>
    <row r="43" spans="1:18" ht="13.5" thickBot="1">
      <c r="A43" s="40"/>
      <c r="B43" s="28" t="s">
        <v>50</v>
      </c>
      <c r="C43" s="28"/>
      <c r="D43" s="26">
        <f>IF(E29&gt;6,'ARIMA Formulas'!C79,"-")</f>
        <v>4.4445968584280431</v>
      </c>
      <c r="E43" s="41"/>
      <c r="F43" s="41"/>
      <c r="G43" s="41"/>
      <c r="H43" s="41"/>
      <c r="I43" s="41"/>
      <c r="J43" s="42"/>
      <c r="O43" s="59">
        <v>38</v>
      </c>
      <c r="P43" s="9">
        <v>5.2478999999999987</v>
      </c>
    </row>
    <row r="44" spans="1:18" ht="13.5" thickBot="1">
      <c r="A44" s="40"/>
      <c r="B44" s="28" t="s">
        <v>51</v>
      </c>
      <c r="C44" s="28"/>
      <c r="D44" s="26">
        <f>IF(E29&gt;7,'ARIMA Formulas'!C80,"-")</f>
        <v>4.3557642250623729</v>
      </c>
      <c r="E44" s="41"/>
      <c r="F44" s="41"/>
      <c r="G44" s="41"/>
      <c r="H44" s="41"/>
      <c r="I44" s="41"/>
      <c r="J44" s="42"/>
      <c r="O44" s="59">
        <v>39</v>
      </c>
      <c r="P44" s="9">
        <v>5.7067999999999985</v>
      </c>
    </row>
    <row r="45" spans="1:18" ht="13.5" thickBot="1">
      <c r="A45" s="40"/>
      <c r="B45" s="28" t="s">
        <v>52</v>
      </c>
      <c r="C45" s="28"/>
      <c r="D45" s="26">
        <f>IF(E29&gt;8,'ARIMA Formulas'!C81,"-")</f>
        <v>4.4033022230679073</v>
      </c>
      <c r="E45" s="41"/>
      <c r="F45" s="41"/>
      <c r="G45" s="41"/>
      <c r="H45" s="41"/>
      <c r="I45" s="41"/>
      <c r="J45" s="42"/>
      <c r="O45" s="59">
        <v>40</v>
      </c>
      <c r="P45" s="9">
        <v>6.1656999999999984</v>
      </c>
    </row>
    <row r="46" spans="1:18" ht="13.5" thickBot="1">
      <c r="A46" s="40"/>
      <c r="B46" s="28" t="s">
        <v>53</v>
      </c>
      <c r="C46" s="28"/>
      <c r="D46" s="26">
        <f>IF(E29&gt;9,'ARIMA Formulas'!C82,"-")</f>
        <v>4.5678484429571551</v>
      </c>
      <c r="E46" s="41"/>
      <c r="F46" s="41"/>
      <c r="G46" s="41"/>
      <c r="H46" s="41"/>
      <c r="I46" s="41"/>
      <c r="J46" s="42"/>
      <c r="O46" s="59">
        <v>41</v>
      </c>
      <c r="P46" s="9">
        <v>5.7067999999999985</v>
      </c>
    </row>
    <row r="47" spans="1:18">
      <c r="A47" s="40"/>
      <c r="B47" s="41"/>
      <c r="C47" s="41"/>
      <c r="D47" s="41"/>
      <c r="E47" s="41"/>
      <c r="F47" s="41"/>
      <c r="G47" s="41"/>
      <c r="H47" s="41"/>
      <c r="I47" s="41"/>
      <c r="J47" s="42"/>
      <c r="O47" s="59">
        <v>42</v>
      </c>
      <c r="P47" s="9">
        <v>5.2478999999999987</v>
      </c>
    </row>
    <row r="48" spans="1:18">
      <c r="A48" s="40"/>
      <c r="B48" s="41"/>
      <c r="C48" s="41"/>
      <c r="D48" s="41"/>
      <c r="E48" s="41"/>
      <c r="F48" s="41"/>
      <c r="G48" s="41"/>
      <c r="H48" s="41"/>
      <c r="I48" s="41"/>
      <c r="J48" s="42"/>
      <c r="O48" s="59">
        <v>43</v>
      </c>
      <c r="P48" s="9">
        <v>4.7889999999999988</v>
      </c>
    </row>
    <row r="49" spans="1:16">
      <c r="A49" s="40"/>
      <c r="B49" s="41"/>
      <c r="C49" s="41"/>
      <c r="D49" s="41"/>
      <c r="E49" s="41"/>
      <c r="F49" s="41"/>
      <c r="G49" s="41"/>
      <c r="H49" s="41"/>
      <c r="I49" s="41"/>
      <c r="J49" s="42"/>
      <c r="O49" s="59">
        <v>44</v>
      </c>
      <c r="P49" s="9">
        <v>4.3300999999999989</v>
      </c>
    </row>
    <row r="50" spans="1:16">
      <c r="A50" s="53"/>
      <c r="B50" s="41"/>
      <c r="C50" s="41"/>
      <c r="D50" s="41"/>
      <c r="E50" s="41"/>
      <c r="F50" s="41"/>
      <c r="G50" s="41"/>
      <c r="H50" s="41"/>
      <c r="I50" s="41"/>
      <c r="J50" s="42"/>
      <c r="O50" s="59">
        <v>45</v>
      </c>
      <c r="P50" s="9">
        <v>3.8711999999999991</v>
      </c>
    </row>
    <row r="51" spans="1:16">
      <c r="A51" s="53"/>
      <c r="B51" s="41"/>
      <c r="C51" s="41"/>
      <c r="D51" s="41"/>
      <c r="E51" s="41"/>
      <c r="F51" s="41"/>
      <c r="G51" s="41"/>
      <c r="H51" s="41"/>
      <c r="I51" s="41"/>
      <c r="J51" s="42"/>
      <c r="O51" s="59">
        <v>46</v>
      </c>
      <c r="P51" s="9">
        <v>4.3300999999999989</v>
      </c>
    </row>
    <row r="52" spans="1:16">
      <c r="A52" s="53"/>
      <c r="B52" s="41"/>
      <c r="C52" s="41"/>
      <c r="D52" s="41"/>
      <c r="E52" s="41"/>
      <c r="F52" s="41"/>
      <c r="G52" s="41"/>
      <c r="H52" s="41"/>
      <c r="I52" s="41"/>
      <c r="J52" s="42"/>
      <c r="O52" s="59">
        <v>47</v>
      </c>
      <c r="P52" s="9">
        <v>4.7889999999999988</v>
      </c>
    </row>
    <row r="53" spans="1:16" ht="13.5" thickBot="1">
      <c r="A53" s="54"/>
      <c r="B53" s="55"/>
      <c r="C53" s="55"/>
      <c r="D53" s="55"/>
      <c r="E53" s="55"/>
      <c r="F53" s="55"/>
      <c r="G53" s="55"/>
      <c r="H53" s="55"/>
      <c r="I53" s="55"/>
      <c r="J53" s="56"/>
      <c r="O53" s="59">
        <v>48</v>
      </c>
      <c r="P53" s="9">
        <v>5.2478999999999987</v>
      </c>
    </row>
    <row r="54" spans="1:16">
      <c r="A54"/>
      <c r="O54" s="59">
        <v>49</v>
      </c>
      <c r="P54" s="9">
        <v>5.7067999999999985</v>
      </c>
    </row>
    <row r="55" spans="1:16" ht="13.5" thickBot="1">
      <c r="A55"/>
      <c r="O55" s="59">
        <v>50</v>
      </c>
      <c r="P55" s="9">
        <v>6.1656999999999984</v>
      </c>
    </row>
    <row r="56" spans="1:16">
      <c r="A56"/>
      <c r="N56" s="64" t="s">
        <v>59</v>
      </c>
      <c r="O56" s="60" t="s">
        <v>27</v>
      </c>
      <c r="P56" s="61">
        <f>D37</f>
        <v>6.2759907325366102</v>
      </c>
    </row>
    <row r="57" spans="1:16">
      <c r="A57"/>
      <c r="N57" s="65"/>
      <c r="O57" s="60" t="s">
        <v>28</v>
      </c>
      <c r="P57" s="61">
        <f t="shared" ref="P57:P65" si="0">D38</f>
        <v>6.1533005789070456</v>
      </c>
    </row>
    <row r="58" spans="1:16">
      <c r="N58" s="65"/>
      <c r="O58" s="60" t="s">
        <v>29</v>
      </c>
      <c r="P58" s="61">
        <f t="shared" si="0"/>
        <v>5.8745339643922208</v>
      </c>
    </row>
    <row r="59" spans="1:16">
      <c r="A59"/>
      <c r="N59" s="65"/>
      <c r="O59" s="60" t="s">
        <v>30</v>
      </c>
      <c r="P59" s="61">
        <f t="shared" si="0"/>
        <v>5.4946169380597789</v>
      </c>
    </row>
    <row r="60" spans="1:16">
      <c r="A60"/>
      <c r="N60" s="65"/>
      <c r="O60" s="60" t="s">
        <v>31</v>
      </c>
      <c r="P60" s="61">
        <f t="shared" si="0"/>
        <v>5.049276901167131</v>
      </c>
    </row>
    <row r="61" spans="1:16">
      <c r="A61"/>
      <c r="N61" s="65"/>
      <c r="O61" s="60" t="s">
        <v>32</v>
      </c>
      <c r="P61" s="61">
        <f t="shared" si="0"/>
        <v>4.6801928375837436</v>
      </c>
    </row>
    <row r="62" spans="1:16">
      <c r="N62" s="65"/>
      <c r="O62" s="60" t="s">
        <v>33</v>
      </c>
      <c r="P62" s="61">
        <f t="shared" si="0"/>
        <v>4.4445968584280431</v>
      </c>
    </row>
    <row r="63" spans="1:16">
      <c r="A63"/>
      <c r="N63" s="65"/>
      <c r="O63" s="60" t="s">
        <v>34</v>
      </c>
      <c r="P63" s="61">
        <f t="shared" si="0"/>
        <v>4.3557642250623729</v>
      </c>
    </row>
    <row r="64" spans="1:16">
      <c r="A64"/>
      <c r="N64" s="65"/>
      <c r="O64" s="60" t="s">
        <v>35</v>
      </c>
      <c r="P64" s="61">
        <f t="shared" si="0"/>
        <v>4.4033022230679073</v>
      </c>
    </row>
    <row r="65" spans="1:16" ht="13.5" thickBot="1">
      <c r="N65" s="66"/>
      <c r="O65" s="62" t="s">
        <v>36</v>
      </c>
      <c r="P65" s="63">
        <f t="shared" si="0"/>
        <v>4.5678484429571551</v>
      </c>
    </row>
    <row r="69" spans="1:16">
      <c r="A69"/>
    </row>
    <row r="70" spans="1:16">
      <c r="A70"/>
    </row>
    <row r="71" spans="1:16">
      <c r="A71"/>
    </row>
    <row r="73" spans="1:16">
      <c r="A73"/>
    </row>
    <row r="74" spans="1:16">
      <c r="A74"/>
    </row>
    <row r="75" spans="1:16">
      <c r="A75"/>
    </row>
    <row r="76" spans="1:16">
      <c r="A76"/>
    </row>
    <row r="77" spans="1:16">
      <c r="A77"/>
    </row>
  </sheetData>
  <mergeCells count="21">
    <mergeCell ref="O4:P4"/>
    <mergeCell ref="B42:C42"/>
    <mergeCell ref="B43:C43"/>
    <mergeCell ref="B44:C44"/>
    <mergeCell ref="N56:N65"/>
    <mergeCell ref="B46:C46"/>
    <mergeCell ref="G25:I27"/>
    <mergeCell ref="B37:C37"/>
    <mergeCell ref="B38:C38"/>
    <mergeCell ref="B39:C39"/>
    <mergeCell ref="B40:C40"/>
    <mergeCell ref="B41:C41"/>
    <mergeCell ref="B35:I35"/>
    <mergeCell ref="B29:D29"/>
    <mergeCell ref="B26:D26"/>
    <mergeCell ref="B3:H3"/>
    <mergeCell ref="B22:I22"/>
    <mergeCell ref="B11:I11"/>
    <mergeCell ref="B12:I19"/>
    <mergeCell ref="B45:C45"/>
    <mergeCell ref="B4:I9"/>
  </mergeCells>
  <phoneticPr fontId="7" type="noConversion"/>
  <dataValidations count="1">
    <dataValidation type="list" allowBlank="1" showInputMessage="1" showErrorMessage="1" sqref="E26 E29" xr:uid="{8D5813F4-FECD-40CC-9459-9E9355CF588A}">
      <formula1>$M$25:$M$34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RIMA_Widget">
                <anchor moveWithCells="1" sizeWithCells="1">
                  <from>
                    <xdr:col>3</xdr:col>
                    <xdr:colOff>19050</xdr:colOff>
                    <xdr:row>30</xdr:row>
                    <xdr:rowOff>0</xdr:rowOff>
                  </from>
                  <to>
                    <xdr:col>6</xdr:col>
                    <xdr:colOff>1057275</xdr:colOff>
                    <xdr:row>33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274B0-7EBA-471F-B4CB-9BF8AFE356A2}">
  <sheetPr codeName="Sheet10"/>
  <dimension ref="A1:T119"/>
  <sheetViews>
    <sheetView workbookViewId="0">
      <selection activeCell="G1" sqref="G1:G21"/>
    </sheetView>
  </sheetViews>
  <sheetFormatPr defaultRowHeight="12.75"/>
  <cols>
    <col min="1" max="1" width="14.28515625" style="1" customWidth="1"/>
    <col min="2" max="2" width="12.42578125" bestFit="1" customWidth="1"/>
    <col min="5" max="5" width="14.85546875" bestFit="1" customWidth="1"/>
    <col min="6" max="6" width="8.5703125" bestFit="1" customWidth="1"/>
    <col min="7" max="7" width="12" bestFit="1" customWidth="1"/>
    <col min="8" max="8" width="15.42578125" style="2" bestFit="1" customWidth="1"/>
    <col min="9" max="9" width="12.42578125" bestFit="1" customWidth="1"/>
    <col min="11" max="11" width="10.7109375" customWidth="1"/>
    <col min="12" max="12" width="12.42578125" bestFit="1" customWidth="1"/>
    <col min="16" max="16" width="11.5703125" bestFit="1" customWidth="1"/>
    <col min="259" max="259" width="16.140625" bestFit="1" customWidth="1"/>
    <col min="260" max="260" width="17.85546875" bestFit="1" customWidth="1"/>
    <col min="261" max="261" width="9.7109375" bestFit="1" customWidth="1"/>
    <col min="262" max="262" width="11.42578125" customWidth="1"/>
    <col min="263" max="263" width="12" bestFit="1" customWidth="1"/>
    <col min="515" max="515" width="16.140625" bestFit="1" customWidth="1"/>
    <col min="516" max="516" width="17.85546875" bestFit="1" customWidth="1"/>
    <col min="517" max="517" width="9.7109375" bestFit="1" customWidth="1"/>
    <col min="518" max="518" width="11.42578125" customWidth="1"/>
    <col min="519" max="519" width="12" bestFit="1" customWidth="1"/>
    <col min="771" max="771" width="16.140625" bestFit="1" customWidth="1"/>
    <col min="772" max="772" width="17.85546875" bestFit="1" customWidth="1"/>
    <col min="773" max="773" width="9.7109375" bestFit="1" customWidth="1"/>
    <col min="774" max="774" width="11.42578125" customWidth="1"/>
    <col min="775" max="775" width="12" bestFit="1" customWidth="1"/>
    <col min="1027" max="1027" width="16.140625" bestFit="1" customWidth="1"/>
    <col min="1028" max="1028" width="17.85546875" bestFit="1" customWidth="1"/>
    <col min="1029" max="1029" width="9.7109375" bestFit="1" customWidth="1"/>
    <col min="1030" max="1030" width="11.42578125" customWidth="1"/>
    <col min="1031" max="1031" width="12" bestFit="1" customWidth="1"/>
    <col min="1283" max="1283" width="16.140625" bestFit="1" customWidth="1"/>
    <col min="1284" max="1284" width="17.85546875" bestFit="1" customWidth="1"/>
    <col min="1285" max="1285" width="9.7109375" bestFit="1" customWidth="1"/>
    <col min="1286" max="1286" width="11.42578125" customWidth="1"/>
    <col min="1287" max="1287" width="12" bestFit="1" customWidth="1"/>
    <col min="1539" max="1539" width="16.140625" bestFit="1" customWidth="1"/>
    <col min="1540" max="1540" width="17.85546875" bestFit="1" customWidth="1"/>
    <col min="1541" max="1541" width="9.7109375" bestFit="1" customWidth="1"/>
    <col min="1542" max="1542" width="11.42578125" customWidth="1"/>
    <col min="1543" max="1543" width="12" bestFit="1" customWidth="1"/>
    <col min="1795" max="1795" width="16.140625" bestFit="1" customWidth="1"/>
    <col min="1796" max="1796" width="17.85546875" bestFit="1" customWidth="1"/>
    <col min="1797" max="1797" width="9.7109375" bestFit="1" customWidth="1"/>
    <col min="1798" max="1798" width="11.42578125" customWidth="1"/>
    <col min="1799" max="1799" width="12" bestFit="1" customWidth="1"/>
    <col min="2051" max="2051" width="16.140625" bestFit="1" customWidth="1"/>
    <col min="2052" max="2052" width="17.85546875" bestFit="1" customWidth="1"/>
    <col min="2053" max="2053" width="9.7109375" bestFit="1" customWidth="1"/>
    <col min="2054" max="2054" width="11.42578125" customWidth="1"/>
    <col min="2055" max="2055" width="12" bestFit="1" customWidth="1"/>
    <col min="2307" max="2307" width="16.140625" bestFit="1" customWidth="1"/>
    <col min="2308" max="2308" width="17.85546875" bestFit="1" customWidth="1"/>
    <col min="2309" max="2309" width="9.7109375" bestFit="1" customWidth="1"/>
    <col min="2310" max="2310" width="11.42578125" customWidth="1"/>
    <col min="2311" max="2311" width="12" bestFit="1" customWidth="1"/>
    <col min="2563" max="2563" width="16.140625" bestFit="1" customWidth="1"/>
    <col min="2564" max="2564" width="17.85546875" bestFit="1" customWidth="1"/>
    <col min="2565" max="2565" width="9.7109375" bestFit="1" customWidth="1"/>
    <col min="2566" max="2566" width="11.42578125" customWidth="1"/>
    <col min="2567" max="2567" width="12" bestFit="1" customWidth="1"/>
    <col min="2819" max="2819" width="16.140625" bestFit="1" customWidth="1"/>
    <col min="2820" max="2820" width="17.85546875" bestFit="1" customWidth="1"/>
    <col min="2821" max="2821" width="9.7109375" bestFit="1" customWidth="1"/>
    <col min="2822" max="2822" width="11.42578125" customWidth="1"/>
    <col min="2823" max="2823" width="12" bestFit="1" customWidth="1"/>
    <col min="3075" max="3075" width="16.140625" bestFit="1" customWidth="1"/>
    <col min="3076" max="3076" width="17.85546875" bestFit="1" customWidth="1"/>
    <col min="3077" max="3077" width="9.7109375" bestFit="1" customWidth="1"/>
    <col min="3078" max="3078" width="11.42578125" customWidth="1"/>
    <col min="3079" max="3079" width="12" bestFit="1" customWidth="1"/>
    <col min="3331" max="3331" width="16.140625" bestFit="1" customWidth="1"/>
    <col min="3332" max="3332" width="17.85546875" bestFit="1" customWidth="1"/>
    <col min="3333" max="3333" width="9.7109375" bestFit="1" customWidth="1"/>
    <col min="3334" max="3334" width="11.42578125" customWidth="1"/>
    <col min="3335" max="3335" width="12" bestFit="1" customWidth="1"/>
    <col min="3587" max="3587" width="16.140625" bestFit="1" customWidth="1"/>
    <col min="3588" max="3588" width="17.85546875" bestFit="1" customWidth="1"/>
    <col min="3589" max="3589" width="9.7109375" bestFit="1" customWidth="1"/>
    <col min="3590" max="3590" width="11.42578125" customWidth="1"/>
    <col min="3591" max="3591" width="12" bestFit="1" customWidth="1"/>
    <col min="3843" max="3843" width="16.140625" bestFit="1" customWidth="1"/>
    <col min="3844" max="3844" width="17.85546875" bestFit="1" customWidth="1"/>
    <col min="3845" max="3845" width="9.7109375" bestFit="1" customWidth="1"/>
    <col min="3846" max="3846" width="11.42578125" customWidth="1"/>
    <col min="3847" max="3847" width="12" bestFit="1" customWidth="1"/>
    <col min="4099" max="4099" width="16.140625" bestFit="1" customWidth="1"/>
    <col min="4100" max="4100" width="17.85546875" bestFit="1" customWidth="1"/>
    <col min="4101" max="4101" width="9.7109375" bestFit="1" customWidth="1"/>
    <col min="4102" max="4102" width="11.42578125" customWidth="1"/>
    <col min="4103" max="4103" width="12" bestFit="1" customWidth="1"/>
    <col min="4355" max="4355" width="16.140625" bestFit="1" customWidth="1"/>
    <col min="4356" max="4356" width="17.85546875" bestFit="1" customWidth="1"/>
    <col min="4357" max="4357" width="9.7109375" bestFit="1" customWidth="1"/>
    <col min="4358" max="4358" width="11.42578125" customWidth="1"/>
    <col min="4359" max="4359" width="12" bestFit="1" customWidth="1"/>
    <col min="4611" max="4611" width="16.140625" bestFit="1" customWidth="1"/>
    <col min="4612" max="4612" width="17.85546875" bestFit="1" customWidth="1"/>
    <col min="4613" max="4613" width="9.7109375" bestFit="1" customWidth="1"/>
    <col min="4614" max="4614" width="11.42578125" customWidth="1"/>
    <col min="4615" max="4615" width="12" bestFit="1" customWidth="1"/>
    <col min="4867" max="4867" width="16.140625" bestFit="1" customWidth="1"/>
    <col min="4868" max="4868" width="17.85546875" bestFit="1" customWidth="1"/>
    <col min="4869" max="4869" width="9.7109375" bestFit="1" customWidth="1"/>
    <col min="4870" max="4870" width="11.42578125" customWidth="1"/>
    <col min="4871" max="4871" width="12" bestFit="1" customWidth="1"/>
    <col min="5123" max="5123" width="16.140625" bestFit="1" customWidth="1"/>
    <col min="5124" max="5124" width="17.85546875" bestFit="1" customWidth="1"/>
    <col min="5125" max="5125" width="9.7109375" bestFit="1" customWidth="1"/>
    <col min="5126" max="5126" width="11.42578125" customWidth="1"/>
    <col min="5127" max="5127" width="12" bestFit="1" customWidth="1"/>
    <col min="5379" max="5379" width="16.140625" bestFit="1" customWidth="1"/>
    <col min="5380" max="5380" width="17.85546875" bestFit="1" customWidth="1"/>
    <col min="5381" max="5381" width="9.7109375" bestFit="1" customWidth="1"/>
    <col min="5382" max="5382" width="11.42578125" customWidth="1"/>
    <col min="5383" max="5383" width="12" bestFit="1" customWidth="1"/>
    <col min="5635" max="5635" width="16.140625" bestFit="1" customWidth="1"/>
    <col min="5636" max="5636" width="17.85546875" bestFit="1" customWidth="1"/>
    <col min="5637" max="5637" width="9.7109375" bestFit="1" customWidth="1"/>
    <col min="5638" max="5638" width="11.42578125" customWidth="1"/>
    <col min="5639" max="5639" width="12" bestFit="1" customWidth="1"/>
    <col min="5891" max="5891" width="16.140625" bestFit="1" customWidth="1"/>
    <col min="5892" max="5892" width="17.85546875" bestFit="1" customWidth="1"/>
    <col min="5893" max="5893" width="9.7109375" bestFit="1" customWidth="1"/>
    <col min="5894" max="5894" width="11.42578125" customWidth="1"/>
    <col min="5895" max="5895" width="12" bestFit="1" customWidth="1"/>
    <col min="6147" max="6147" width="16.140625" bestFit="1" customWidth="1"/>
    <col min="6148" max="6148" width="17.85546875" bestFit="1" customWidth="1"/>
    <col min="6149" max="6149" width="9.7109375" bestFit="1" customWidth="1"/>
    <col min="6150" max="6150" width="11.42578125" customWidth="1"/>
    <col min="6151" max="6151" width="12" bestFit="1" customWidth="1"/>
    <col min="6403" max="6403" width="16.140625" bestFit="1" customWidth="1"/>
    <col min="6404" max="6404" width="17.85546875" bestFit="1" customWidth="1"/>
    <col min="6405" max="6405" width="9.7109375" bestFit="1" customWidth="1"/>
    <col min="6406" max="6406" width="11.42578125" customWidth="1"/>
    <col min="6407" max="6407" width="12" bestFit="1" customWidth="1"/>
    <col min="6659" max="6659" width="16.140625" bestFit="1" customWidth="1"/>
    <col min="6660" max="6660" width="17.85546875" bestFit="1" customWidth="1"/>
    <col min="6661" max="6661" width="9.7109375" bestFit="1" customWidth="1"/>
    <col min="6662" max="6662" width="11.42578125" customWidth="1"/>
    <col min="6663" max="6663" width="12" bestFit="1" customWidth="1"/>
    <col min="6915" max="6915" width="16.140625" bestFit="1" customWidth="1"/>
    <col min="6916" max="6916" width="17.85546875" bestFit="1" customWidth="1"/>
    <col min="6917" max="6917" width="9.7109375" bestFit="1" customWidth="1"/>
    <col min="6918" max="6918" width="11.42578125" customWidth="1"/>
    <col min="6919" max="6919" width="12" bestFit="1" customWidth="1"/>
    <col min="7171" max="7171" width="16.140625" bestFit="1" customWidth="1"/>
    <col min="7172" max="7172" width="17.85546875" bestFit="1" customWidth="1"/>
    <col min="7173" max="7173" width="9.7109375" bestFit="1" customWidth="1"/>
    <col min="7174" max="7174" width="11.42578125" customWidth="1"/>
    <col min="7175" max="7175" width="12" bestFit="1" customWidth="1"/>
    <col min="7427" max="7427" width="16.140625" bestFit="1" customWidth="1"/>
    <col min="7428" max="7428" width="17.85546875" bestFit="1" customWidth="1"/>
    <col min="7429" max="7429" width="9.7109375" bestFit="1" customWidth="1"/>
    <col min="7430" max="7430" width="11.42578125" customWidth="1"/>
    <col min="7431" max="7431" width="12" bestFit="1" customWidth="1"/>
    <col min="7683" max="7683" width="16.140625" bestFit="1" customWidth="1"/>
    <col min="7684" max="7684" width="17.85546875" bestFit="1" customWidth="1"/>
    <col min="7685" max="7685" width="9.7109375" bestFit="1" customWidth="1"/>
    <col min="7686" max="7686" width="11.42578125" customWidth="1"/>
    <col min="7687" max="7687" width="12" bestFit="1" customWidth="1"/>
    <col min="7939" max="7939" width="16.140625" bestFit="1" customWidth="1"/>
    <col min="7940" max="7940" width="17.85546875" bestFit="1" customWidth="1"/>
    <col min="7941" max="7941" width="9.7109375" bestFit="1" customWidth="1"/>
    <col min="7942" max="7942" width="11.42578125" customWidth="1"/>
    <col min="7943" max="7943" width="12" bestFit="1" customWidth="1"/>
    <col min="8195" max="8195" width="16.140625" bestFit="1" customWidth="1"/>
    <col min="8196" max="8196" width="17.85546875" bestFit="1" customWidth="1"/>
    <col min="8197" max="8197" width="9.7109375" bestFit="1" customWidth="1"/>
    <col min="8198" max="8198" width="11.42578125" customWidth="1"/>
    <col min="8199" max="8199" width="12" bestFit="1" customWidth="1"/>
    <col min="8451" max="8451" width="16.140625" bestFit="1" customWidth="1"/>
    <col min="8452" max="8452" width="17.85546875" bestFit="1" customWidth="1"/>
    <col min="8453" max="8453" width="9.7109375" bestFit="1" customWidth="1"/>
    <col min="8454" max="8454" width="11.42578125" customWidth="1"/>
    <col min="8455" max="8455" width="12" bestFit="1" customWidth="1"/>
    <col min="8707" max="8707" width="16.140625" bestFit="1" customWidth="1"/>
    <col min="8708" max="8708" width="17.85546875" bestFit="1" customWidth="1"/>
    <col min="8709" max="8709" width="9.7109375" bestFit="1" customWidth="1"/>
    <col min="8710" max="8710" width="11.42578125" customWidth="1"/>
    <col min="8711" max="8711" width="12" bestFit="1" customWidth="1"/>
    <col min="8963" max="8963" width="16.140625" bestFit="1" customWidth="1"/>
    <col min="8964" max="8964" width="17.85546875" bestFit="1" customWidth="1"/>
    <col min="8965" max="8965" width="9.7109375" bestFit="1" customWidth="1"/>
    <col min="8966" max="8966" width="11.42578125" customWidth="1"/>
    <col min="8967" max="8967" width="12" bestFit="1" customWidth="1"/>
    <col min="9219" max="9219" width="16.140625" bestFit="1" customWidth="1"/>
    <col min="9220" max="9220" width="17.85546875" bestFit="1" customWidth="1"/>
    <col min="9221" max="9221" width="9.7109375" bestFit="1" customWidth="1"/>
    <col min="9222" max="9222" width="11.42578125" customWidth="1"/>
    <col min="9223" max="9223" width="12" bestFit="1" customWidth="1"/>
    <col min="9475" max="9475" width="16.140625" bestFit="1" customWidth="1"/>
    <col min="9476" max="9476" width="17.85546875" bestFit="1" customWidth="1"/>
    <col min="9477" max="9477" width="9.7109375" bestFit="1" customWidth="1"/>
    <col min="9478" max="9478" width="11.42578125" customWidth="1"/>
    <col min="9479" max="9479" width="12" bestFit="1" customWidth="1"/>
    <col min="9731" max="9731" width="16.140625" bestFit="1" customWidth="1"/>
    <col min="9732" max="9732" width="17.85546875" bestFit="1" customWidth="1"/>
    <col min="9733" max="9733" width="9.7109375" bestFit="1" customWidth="1"/>
    <col min="9734" max="9734" width="11.42578125" customWidth="1"/>
    <col min="9735" max="9735" width="12" bestFit="1" customWidth="1"/>
    <col min="9987" max="9987" width="16.140625" bestFit="1" customWidth="1"/>
    <col min="9988" max="9988" width="17.85546875" bestFit="1" customWidth="1"/>
    <col min="9989" max="9989" width="9.7109375" bestFit="1" customWidth="1"/>
    <col min="9990" max="9990" width="11.42578125" customWidth="1"/>
    <col min="9991" max="9991" width="12" bestFit="1" customWidth="1"/>
    <col min="10243" max="10243" width="16.140625" bestFit="1" customWidth="1"/>
    <col min="10244" max="10244" width="17.85546875" bestFit="1" customWidth="1"/>
    <col min="10245" max="10245" width="9.7109375" bestFit="1" customWidth="1"/>
    <col min="10246" max="10246" width="11.42578125" customWidth="1"/>
    <col min="10247" max="10247" width="12" bestFit="1" customWidth="1"/>
    <col min="10499" max="10499" width="16.140625" bestFit="1" customWidth="1"/>
    <col min="10500" max="10500" width="17.85546875" bestFit="1" customWidth="1"/>
    <col min="10501" max="10501" width="9.7109375" bestFit="1" customWidth="1"/>
    <col min="10502" max="10502" width="11.42578125" customWidth="1"/>
    <col min="10503" max="10503" width="12" bestFit="1" customWidth="1"/>
    <col min="10755" max="10755" width="16.140625" bestFit="1" customWidth="1"/>
    <col min="10756" max="10756" width="17.85546875" bestFit="1" customWidth="1"/>
    <col min="10757" max="10757" width="9.7109375" bestFit="1" customWidth="1"/>
    <col min="10758" max="10758" width="11.42578125" customWidth="1"/>
    <col min="10759" max="10759" width="12" bestFit="1" customWidth="1"/>
    <col min="11011" max="11011" width="16.140625" bestFit="1" customWidth="1"/>
    <col min="11012" max="11012" width="17.85546875" bestFit="1" customWidth="1"/>
    <col min="11013" max="11013" width="9.7109375" bestFit="1" customWidth="1"/>
    <col min="11014" max="11014" width="11.42578125" customWidth="1"/>
    <col min="11015" max="11015" width="12" bestFit="1" customWidth="1"/>
    <col min="11267" max="11267" width="16.140625" bestFit="1" customWidth="1"/>
    <col min="11268" max="11268" width="17.85546875" bestFit="1" customWidth="1"/>
    <col min="11269" max="11269" width="9.7109375" bestFit="1" customWidth="1"/>
    <col min="11270" max="11270" width="11.42578125" customWidth="1"/>
    <col min="11271" max="11271" width="12" bestFit="1" customWidth="1"/>
    <col min="11523" max="11523" width="16.140625" bestFit="1" customWidth="1"/>
    <col min="11524" max="11524" width="17.85546875" bestFit="1" customWidth="1"/>
    <col min="11525" max="11525" width="9.7109375" bestFit="1" customWidth="1"/>
    <col min="11526" max="11526" width="11.42578125" customWidth="1"/>
    <col min="11527" max="11527" width="12" bestFit="1" customWidth="1"/>
    <col min="11779" max="11779" width="16.140625" bestFit="1" customWidth="1"/>
    <col min="11780" max="11780" width="17.85546875" bestFit="1" customWidth="1"/>
    <col min="11781" max="11781" width="9.7109375" bestFit="1" customWidth="1"/>
    <col min="11782" max="11782" width="11.42578125" customWidth="1"/>
    <col min="11783" max="11783" width="12" bestFit="1" customWidth="1"/>
    <col min="12035" max="12035" width="16.140625" bestFit="1" customWidth="1"/>
    <col min="12036" max="12036" width="17.85546875" bestFit="1" customWidth="1"/>
    <col min="12037" max="12037" width="9.7109375" bestFit="1" customWidth="1"/>
    <col min="12038" max="12038" width="11.42578125" customWidth="1"/>
    <col min="12039" max="12039" width="12" bestFit="1" customWidth="1"/>
    <col min="12291" max="12291" width="16.140625" bestFit="1" customWidth="1"/>
    <col min="12292" max="12292" width="17.85546875" bestFit="1" customWidth="1"/>
    <col min="12293" max="12293" width="9.7109375" bestFit="1" customWidth="1"/>
    <col min="12294" max="12294" width="11.42578125" customWidth="1"/>
    <col min="12295" max="12295" width="12" bestFit="1" customWidth="1"/>
    <col min="12547" max="12547" width="16.140625" bestFit="1" customWidth="1"/>
    <col min="12548" max="12548" width="17.85546875" bestFit="1" customWidth="1"/>
    <col min="12549" max="12549" width="9.7109375" bestFit="1" customWidth="1"/>
    <col min="12550" max="12550" width="11.42578125" customWidth="1"/>
    <col min="12551" max="12551" width="12" bestFit="1" customWidth="1"/>
    <col min="12803" max="12803" width="16.140625" bestFit="1" customWidth="1"/>
    <col min="12804" max="12804" width="17.85546875" bestFit="1" customWidth="1"/>
    <col min="12805" max="12805" width="9.7109375" bestFit="1" customWidth="1"/>
    <col min="12806" max="12806" width="11.42578125" customWidth="1"/>
    <col min="12807" max="12807" width="12" bestFit="1" customWidth="1"/>
    <col min="13059" max="13059" width="16.140625" bestFit="1" customWidth="1"/>
    <col min="13060" max="13060" width="17.85546875" bestFit="1" customWidth="1"/>
    <col min="13061" max="13061" width="9.7109375" bestFit="1" customWidth="1"/>
    <col min="13062" max="13062" width="11.42578125" customWidth="1"/>
    <col min="13063" max="13063" width="12" bestFit="1" customWidth="1"/>
    <col min="13315" max="13315" width="16.140625" bestFit="1" customWidth="1"/>
    <col min="13316" max="13316" width="17.85546875" bestFit="1" customWidth="1"/>
    <col min="13317" max="13317" width="9.7109375" bestFit="1" customWidth="1"/>
    <col min="13318" max="13318" width="11.42578125" customWidth="1"/>
    <col min="13319" max="13319" width="12" bestFit="1" customWidth="1"/>
    <col min="13571" max="13571" width="16.140625" bestFit="1" customWidth="1"/>
    <col min="13572" max="13572" width="17.85546875" bestFit="1" customWidth="1"/>
    <col min="13573" max="13573" width="9.7109375" bestFit="1" customWidth="1"/>
    <col min="13574" max="13574" width="11.42578125" customWidth="1"/>
    <col min="13575" max="13575" width="12" bestFit="1" customWidth="1"/>
    <col min="13827" max="13827" width="16.140625" bestFit="1" customWidth="1"/>
    <col min="13828" max="13828" width="17.85546875" bestFit="1" customWidth="1"/>
    <col min="13829" max="13829" width="9.7109375" bestFit="1" customWidth="1"/>
    <col min="13830" max="13830" width="11.42578125" customWidth="1"/>
    <col min="13831" max="13831" width="12" bestFit="1" customWidth="1"/>
    <col min="14083" max="14083" width="16.140625" bestFit="1" customWidth="1"/>
    <col min="14084" max="14084" width="17.85546875" bestFit="1" customWidth="1"/>
    <col min="14085" max="14085" width="9.7109375" bestFit="1" customWidth="1"/>
    <col min="14086" max="14086" width="11.42578125" customWidth="1"/>
    <col min="14087" max="14087" width="12" bestFit="1" customWidth="1"/>
    <col min="14339" max="14339" width="16.140625" bestFit="1" customWidth="1"/>
    <col min="14340" max="14340" width="17.85546875" bestFit="1" customWidth="1"/>
    <col min="14341" max="14341" width="9.7109375" bestFit="1" customWidth="1"/>
    <col min="14342" max="14342" width="11.42578125" customWidth="1"/>
    <col min="14343" max="14343" width="12" bestFit="1" customWidth="1"/>
    <col min="14595" max="14595" width="16.140625" bestFit="1" customWidth="1"/>
    <col min="14596" max="14596" width="17.85546875" bestFit="1" customWidth="1"/>
    <col min="14597" max="14597" width="9.7109375" bestFit="1" customWidth="1"/>
    <col min="14598" max="14598" width="11.42578125" customWidth="1"/>
    <col min="14599" max="14599" width="12" bestFit="1" customWidth="1"/>
    <col min="14851" max="14851" width="16.140625" bestFit="1" customWidth="1"/>
    <col min="14852" max="14852" width="17.85546875" bestFit="1" customWidth="1"/>
    <col min="14853" max="14853" width="9.7109375" bestFit="1" customWidth="1"/>
    <col min="14854" max="14854" width="11.42578125" customWidth="1"/>
    <col min="14855" max="14855" width="12" bestFit="1" customWidth="1"/>
    <col min="15107" max="15107" width="16.140625" bestFit="1" customWidth="1"/>
    <col min="15108" max="15108" width="17.85546875" bestFit="1" customWidth="1"/>
    <col min="15109" max="15109" width="9.7109375" bestFit="1" customWidth="1"/>
    <col min="15110" max="15110" width="11.42578125" customWidth="1"/>
    <col min="15111" max="15111" width="12" bestFit="1" customWidth="1"/>
    <col min="15363" max="15363" width="16.140625" bestFit="1" customWidth="1"/>
    <col min="15364" max="15364" width="17.85546875" bestFit="1" customWidth="1"/>
    <col min="15365" max="15365" width="9.7109375" bestFit="1" customWidth="1"/>
    <col min="15366" max="15366" width="11.42578125" customWidth="1"/>
    <col min="15367" max="15367" width="12" bestFit="1" customWidth="1"/>
    <col min="15619" max="15619" width="16.140625" bestFit="1" customWidth="1"/>
    <col min="15620" max="15620" width="17.85546875" bestFit="1" customWidth="1"/>
    <col min="15621" max="15621" width="9.7109375" bestFit="1" customWidth="1"/>
    <col min="15622" max="15622" width="11.42578125" customWidth="1"/>
    <col min="15623" max="15623" width="12" bestFit="1" customWidth="1"/>
    <col min="15875" max="15875" width="16.140625" bestFit="1" customWidth="1"/>
    <col min="15876" max="15876" width="17.85546875" bestFit="1" customWidth="1"/>
    <col min="15877" max="15877" width="9.7109375" bestFit="1" customWidth="1"/>
    <col min="15878" max="15878" width="11.42578125" customWidth="1"/>
    <col min="15879" max="15879" width="12" bestFit="1" customWidth="1"/>
    <col min="16131" max="16131" width="16.140625" bestFit="1" customWidth="1"/>
    <col min="16132" max="16132" width="17.85546875" bestFit="1" customWidth="1"/>
    <col min="16133" max="16133" width="9.7109375" bestFit="1" customWidth="1"/>
    <col min="16134" max="16134" width="11.42578125" customWidth="1"/>
    <col min="16135" max="16135" width="12" bestFit="1" customWidth="1"/>
  </cols>
  <sheetData>
    <row r="1" spans="2:12">
      <c r="B1" s="20"/>
      <c r="C1" s="20"/>
      <c r="D1" s="20"/>
      <c r="F1" s="14" t="s">
        <v>0</v>
      </c>
      <c r="G1">
        <v>0.308775765194229</v>
      </c>
      <c r="H1"/>
      <c r="L1">
        <f ca="1">RAND()</f>
        <v>3.3326045897786094E-2</v>
      </c>
    </row>
    <row r="2" spans="2:12">
      <c r="F2" s="15" t="s">
        <v>1</v>
      </c>
      <c r="G2">
        <v>0.91716613590085105</v>
      </c>
      <c r="H2" s="3"/>
      <c r="L2">
        <f t="shared" ref="L2:L10" ca="1" si="0">RAND()</f>
        <v>8.4423327519277502E-2</v>
      </c>
    </row>
    <row r="3" spans="2:12">
      <c r="F3" s="15" t="s">
        <v>2</v>
      </c>
      <c r="G3">
        <v>0.66522594669407331</v>
      </c>
      <c r="H3"/>
      <c r="L3">
        <f t="shared" ca="1" si="0"/>
        <v>0.42591939062691997</v>
      </c>
    </row>
    <row r="4" spans="2:12">
      <c r="F4" s="16" t="s">
        <v>3</v>
      </c>
      <c r="G4">
        <v>9.128000151115663E-2</v>
      </c>
      <c r="H4"/>
      <c r="L4">
        <f t="shared" ca="1" si="0"/>
        <v>0.45097054893436306</v>
      </c>
    </row>
    <row r="5" spans="2:12">
      <c r="F5" s="16" t="s">
        <v>4</v>
      </c>
      <c r="G5">
        <v>-3.5879061268958207E-2</v>
      </c>
      <c r="H5"/>
      <c r="L5">
        <f t="shared" ca="1" si="0"/>
        <v>3.5012729655081731E-4</v>
      </c>
    </row>
    <row r="6" spans="2:12">
      <c r="F6" s="17" t="s">
        <v>5</v>
      </c>
      <c r="G6">
        <v>-5.3897488898166264E-2</v>
      </c>
      <c r="H6"/>
      <c r="L6">
        <f t="shared" ca="1" si="0"/>
        <v>0.58736232744417483</v>
      </c>
    </row>
    <row r="7" spans="2:12">
      <c r="F7" s="17" t="s">
        <v>6</v>
      </c>
      <c r="G7">
        <v>7.2723743631396198E-3</v>
      </c>
      <c r="H7"/>
      <c r="L7">
        <f t="shared" ca="1" si="0"/>
        <v>0.64597616856550311</v>
      </c>
    </row>
    <row r="8" spans="2:12">
      <c r="F8" s="15" t="s">
        <v>7</v>
      </c>
      <c r="G8">
        <v>-7.4707740824809341E-2</v>
      </c>
      <c r="H8"/>
      <c r="L8">
        <f t="shared" ca="1" si="0"/>
        <v>0.49555531745028569</v>
      </c>
    </row>
    <row r="9" spans="2:12">
      <c r="F9" s="15" t="s">
        <v>8</v>
      </c>
      <c r="G9">
        <v>9.0718705386707926E-2</v>
      </c>
      <c r="H9"/>
      <c r="L9">
        <f t="shared" ca="1" si="0"/>
        <v>0.65019789608008749</v>
      </c>
    </row>
    <row r="10" spans="2:12">
      <c r="F10" s="16" t="s">
        <v>9</v>
      </c>
      <c r="G10">
        <v>5.4886464557030328E-2</v>
      </c>
      <c r="H10"/>
      <c r="K10" s="2"/>
      <c r="L10">
        <f t="shared" ca="1" si="0"/>
        <v>0.7432815059614839</v>
      </c>
    </row>
    <row r="11" spans="2:12">
      <c r="F11" s="16" t="s">
        <v>10</v>
      </c>
      <c r="G11">
        <v>-0.30396221181924593</v>
      </c>
      <c r="H11"/>
      <c r="I11" s="32" t="s">
        <v>56</v>
      </c>
      <c r="J11" s="32"/>
      <c r="K11" s="22">
        <f>'ARIMA GUI'!E26</f>
        <v>5</v>
      </c>
      <c r="L11">
        <f ca="1">RAND()</f>
        <v>4.7788884135171794E-2</v>
      </c>
    </row>
    <row r="12" spans="2:12">
      <c r="F12" s="18" t="s">
        <v>11</v>
      </c>
      <c r="G12">
        <v>0.79680468291208562</v>
      </c>
      <c r="H12"/>
      <c r="I12" s="33" t="s">
        <v>55</v>
      </c>
      <c r="J12" s="33"/>
      <c r="K12" s="23">
        <f>G73</f>
        <v>6.5940589485650875E-2</v>
      </c>
      <c r="L12">
        <f t="shared" ref="L12:L21" ca="1" si="1">RAND()</f>
        <v>0.13594935329268121</v>
      </c>
    </row>
    <row r="13" spans="2:12">
      <c r="F13" s="18" t="s">
        <v>12</v>
      </c>
      <c r="G13">
        <v>0.82590337747869913</v>
      </c>
      <c r="H13"/>
      <c r="L13">
        <f t="shared" ca="1" si="1"/>
        <v>0.38530125007701477</v>
      </c>
    </row>
    <row r="14" spans="2:12">
      <c r="F14" s="15" t="s">
        <v>13</v>
      </c>
      <c r="G14">
        <v>0.2062590250710199</v>
      </c>
      <c r="H14"/>
      <c r="L14">
        <f t="shared" ca="1" si="1"/>
        <v>0.70088379047780291</v>
      </c>
    </row>
    <row r="15" spans="2:12">
      <c r="F15" s="15" t="s">
        <v>14</v>
      </c>
      <c r="G15">
        <v>0.73810499883365888</v>
      </c>
      <c r="H15"/>
      <c r="L15">
        <f t="shared" ca="1" si="1"/>
        <v>0.47201159120151737</v>
      </c>
    </row>
    <row r="16" spans="2:12">
      <c r="F16" s="16" t="s">
        <v>15</v>
      </c>
      <c r="G16">
        <v>0.46577502077848487</v>
      </c>
      <c r="H16"/>
      <c r="L16">
        <f t="shared" ca="1" si="1"/>
        <v>7.3082727192009811E-2</v>
      </c>
    </row>
    <row r="17" spans="2:20">
      <c r="F17" s="16" t="s">
        <v>16</v>
      </c>
      <c r="G17">
        <v>8.6436174256637743E-2</v>
      </c>
      <c r="H17"/>
      <c r="L17">
        <f t="shared" ca="1" si="1"/>
        <v>0.8064167018369337</v>
      </c>
    </row>
    <row r="18" spans="2:20">
      <c r="F18" s="18" t="s">
        <v>17</v>
      </c>
      <c r="G18">
        <v>0.94313330285245489</v>
      </c>
      <c r="H18"/>
      <c r="L18">
        <f t="shared" ca="1" si="1"/>
        <v>0.95602514663941995</v>
      </c>
    </row>
    <row r="19" spans="2:20">
      <c r="F19" s="18" t="s">
        <v>18</v>
      </c>
      <c r="G19">
        <v>0.49362697729302163</v>
      </c>
      <c r="H19"/>
      <c r="L19">
        <f t="shared" ca="1" si="1"/>
        <v>0.39316980184607053</v>
      </c>
    </row>
    <row r="20" spans="2:20">
      <c r="F20" s="15" t="s">
        <v>19</v>
      </c>
      <c r="G20">
        <v>0.20731504256072097</v>
      </c>
      <c r="H20"/>
      <c r="L20">
        <f t="shared" ca="1" si="1"/>
        <v>1.3209346202554761E-2</v>
      </c>
    </row>
    <row r="21" spans="2:20" ht="13.5" thickBot="1">
      <c r="F21" s="19" t="s">
        <v>20</v>
      </c>
      <c r="G21">
        <v>0.16274452454481259</v>
      </c>
      <c r="H21"/>
      <c r="K21">
        <v>0</v>
      </c>
      <c r="L21">
        <f t="shared" ca="1" si="1"/>
        <v>0.44874042601534969</v>
      </c>
    </row>
    <row r="22" spans="2:20" s="2" customFormat="1" ht="13.5" thickBot="1">
      <c r="B22" s="5" t="s">
        <v>21</v>
      </c>
      <c r="C22" s="6" t="s">
        <v>22</v>
      </c>
      <c r="D22" s="7"/>
      <c r="E22" s="2" t="s">
        <v>23</v>
      </c>
      <c r="F22" s="2" t="s">
        <v>24</v>
      </c>
      <c r="G22" s="2" t="s">
        <v>25</v>
      </c>
      <c r="H22" s="2" t="s">
        <v>26</v>
      </c>
      <c r="I22"/>
      <c r="J22"/>
      <c r="K22" s="34" t="s">
        <v>56</v>
      </c>
      <c r="L22" s="35"/>
      <c r="M22" s="35"/>
      <c r="N22" s="35"/>
      <c r="O22" s="35"/>
      <c r="P22" s="35"/>
      <c r="Q22" s="35"/>
      <c r="R22" s="35"/>
      <c r="S22" s="35"/>
      <c r="T22" s="36"/>
    </row>
    <row r="23" spans="2:20">
      <c r="B23" s="8">
        <v>1</v>
      </c>
      <c r="C23" s="9">
        <v>0.2</v>
      </c>
      <c r="D23" s="10"/>
      <c r="F23" s="10"/>
      <c r="G23" s="11"/>
      <c r="K23" s="24">
        <v>1</v>
      </c>
      <c r="L23" s="24">
        <v>2</v>
      </c>
      <c r="M23" s="24">
        <v>3</v>
      </c>
      <c r="N23" s="24">
        <v>4</v>
      </c>
      <c r="O23" s="24">
        <v>5</v>
      </c>
      <c r="P23" s="24">
        <v>6</v>
      </c>
      <c r="Q23" s="24">
        <v>7</v>
      </c>
      <c r="R23" s="24">
        <v>8</v>
      </c>
      <c r="S23" s="24">
        <v>9</v>
      </c>
      <c r="T23" s="24">
        <v>10</v>
      </c>
    </row>
    <row r="24" spans="2:20">
      <c r="B24" s="8">
        <v>2</v>
      </c>
      <c r="C24" s="9">
        <f t="shared" ref="C24:C31" si="2">C23+0.4589</f>
        <v>0.65890000000000004</v>
      </c>
      <c r="D24" s="10"/>
      <c r="E24">
        <f>$G$1+C23*$G$2</f>
        <v>0.49220899237439919</v>
      </c>
      <c r="F24" s="10">
        <f>C24-E24</f>
        <v>0.16669100762560085</v>
      </c>
      <c r="G24">
        <f>F24*F24</f>
        <v>2.7785892023238123E-2</v>
      </c>
      <c r="H24" s="12">
        <f t="shared" ref="H24:H55" si="3">C24-C23</f>
        <v>0.45890000000000003</v>
      </c>
    </row>
    <row r="25" spans="2:20">
      <c r="B25" s="8">
        <v>3</v>
      </c>
      <c r="C25" s="9">
        <f t="shared" si="2"/>
        <v>1.1177999999999999</v>
      </c>
      <c r="D25" s="10"/>
      <c r="E25">
        <f>CHOOSE($K$11,K25,L25,L25,L25,L25,L25,L25,L25,L25,L25)</f>
        <v>1.2366247193794415</v>
      </c>
      <c r="F25" s="10">
        <f t="shared" ref="F25:F72" si="4">E25-C25</f>
        <v>0.11882471937944161</v>
      </c>
      <c r="G25">
        <f>F25*F25</f>
        <v>1.4119313935603048E-2</v>
      </c>
      <c r="H25" s="12">
        <f t="shared" si="3"/>
        <v>0.45889999999999986</v>
      </c>
      <c r="K25">
        <f t="shared" ref="K25:K56" si="5">$G$1+C24*$G$2+H24*$G$3</f>
        <v>1.2183687190772101</v>
      </c>
      <c r="L25">
        <f>$G$1+C24*$G$2+H24*$G$3+C23*$G$4</f>
        <v>1.2366247193794415</v>
      </c>
    </row>
    <row r="26" spans="2:20">
      <c r="B26" s="8">
        <v>4</v>
      </c>
      <c r="C26" s="9">
        <f t="shared" si="2"/>
        <v>1.5766999999999998</v>
      </c>
      <c r="D26" s="10"/>
      <c r="E26">
        <f>CHOOSE($K$11,K26,L26,M26,M26,M26,M26,M26,M26,M26,M26)</f>
        <v>1.6721562528418534</v>
      </c>
      <c r="F26" s="10">
        <f t="shared" si="4"/>
        <v>9.5456252841853662E-2</v>
      </c>
      <c r="G26">
        <f t="shared" ref="G26" si="6">F26*F26</f>
        <v>9.1118962066078953E-3</v>
      </c>
      <c r="H26" s="12">
        <f t="shared" si="3"/>
        <v>0.45889999999999986</v>
      </c>
      <c r="K26">
        <f t="shared" si="5"/>
        <v>1.6392562588421105</v>
      </c>
      <c r="L26">
        <f t="shared" ref="L26:L57" si="7">$G$1+C25*$G$2+H25*$G$3+C24*$G$4+H24*$G$5</f>
        <v>1.6829357506214866</v>
      </c>
      <c r="M26">
        <f>$G$1+C25*$G$2+H25*$G$3+C24*$G$4+H24*$G$5+C23*$G$6</f>
        <v>1.6721562528418534</v>
      </c>
    </row>
    <row r="27" spans="2:20">
      <c r="B27" s="8">
        <v>5</v>
      </c>
      <c r="C27" s="9">
        <f t="shared" si="2"/>
        <v>2.0355999999999996</v>
      </c>
      <c r="D27" s="10"/>
      <c r="E27">
        <f>CHOOSE($K$11,K27,L27,M27,N27,N27,N27,N27,N27,N27,N27)</f>
        <v>2.0985943720751381</v>
      </c>
      <c r="F27" s="10">
        <f t="shared" si="4"/>
        <v>6.2994372075138472E-2</v>
      </c>
      <c r="G27">
        <f>F27*F27</f>
        <v>3.9682909131409858E-3</v>
      </c>
      <c r="H27" s="12">
        <f t="shared" si="3"/>
        <v>0.45889999999999986</v>
      </c>
      <c r="K27">
        <f t="shared" si="5"/>
        <v>2.0601437986070108</v>
      </c>
      <c r="L27">
        <f t="shared" si="7"/>
        <v>2.145711683079857</v>
      </c>
      <c r="M27">
        <f t="shared" ref="M27:M58" si="8">$G$1+C26*$G$2+H26*$G$3+C25*$G$4+H25*$G$5+C24*$G$6+H24*$G$7</f>
        <v>2.1135359202400998</v>
      </c>
      <c r="N27">
        <f>$G$1+C26*$G$2+H26*$G$3+C25*$G$4+H25*$G$5+C24*$G$6+H24*$G$7+C23*$G$8</f>
        <v>2.0985943720751381</v>
      </c>
    </row>
    <row r="28" spans="2:20">
      <c r="B28" s="8">
        <v>6</v>
      </c>
      <c r="C28" s="9">
        <f t="shared" si="2"/>
        <v>2.4944999999999995</v>
      </c>
      <c r="D28" s="10"/>
      <c r="E28">
        <f>CHOOSE($K$11,K28,L28,M28,N28,O28,O28,O28,O28,O28,O28)</f>
        <v>2.5549614714270006</v>
      </c>
      <c r="F28" s="10">
        <f t="shared" si="4"/>
        <v>6.046147142700109E-2</v>
      </c>
      <c r="G28">
        <f t="shared" ref="G28:G72" si="9">F28*F28</f>
        <v>3.6555895271180691E-3</v>
      </c>
      <c r="H28" s="12">
        <f t="shared" si="3"/>
        <v>0.45889999999999986</v>
      </c>
      <c r="K28">
        <f t="shared" si="5"/>
        <v>2.4810313383719111</v>
      </c>
      <c r="L28">
        <f t="shared" si="7"/>
        <v>2.6084876155382268</v>
      </c>
      <c r="M28">
        <f t="shared" si="8"/>
        <v>2.5515782950431012</v>
      </c>
      <c r="N28">
        <f t="shared" ref="N28:N59" si="10">$G$1+C27*$G$2+H27*$G$3+C26*$G$4+H26*$G$5+C25*$G$6+H25*$G$7+C24*$G$8+H24*$G$9</f>
        <v>2.5439841785155943</v>
      </c>
      <c r="O28">
        <f>$G$1+C27*$G$2+H27*$G$3+C26*$G$4+H26*$G$5+C25*$G$6+H25*$G$7+C24*$G$8+H24*$G$9+C23*$G$10</f>
        <v>2.5549614714270006</v>
      </c>
    </row>
    <row r="29" spans="2:20">
      <c r="B29" s="8">
        <v>7</v>
      </c>
      <c r="C29" s="9">
        <f t="shared" si="2"/>
        <v>2.9533999999999994</v>
      </c>
      <c r="D29" s="10"/>
      <c r="E29">
        <f>CHOOSE($K$11,K29,L29,M29,N29,O29,P29,P29,P29,P29,P29)</f>
        <v>2.844419603546867</v>
      </c>
      <c r="F29" s="10">
        <f t="shared" si="4"/>
        <v>-0.1089803964531324</v>
      </c>
      <c r="G29">
        <f t="shared" si="9"/>
        <v>1.1876726811081912E-2</v>
      </c>
      <c r="H29" s="12">
        <f t="shared" si="3"/>
        <v>0.45889999999999986</v>
      </c>
      <c r="K29">
        <f t="shared" si="5"/>
        <v>2.9019188781368115</v>
      </c>
      <c r="L29">
        <f t="shared" si="7"/>
        <v>3.0712635479965971</v>
      </c>
      <c r="M29">
        <f t="shared" si="8"/>
        <v>2.989620669846103</v>
      </c>
      <c r="N29">
        <f t="shared" si="10"/>
        <v>2.9477431710540913</v>
      </c>
      <c r="O29">
        <f t="shared" ref="O29:O60" si="11">$G$1+C28*$G$2+H28*$G$3+C27*$G$4+H27*$G$5+C26*$G$6+H26*$G$7+C25*$G$8+H25*$G$9+C24*$G$10+H24*$G$11</f>
        <v>2.844419603546867</v>
      </c>
      <c r="P29">
        <f>$G$1+C28*$G$2+H28*$G$3+C27*$G$4+H27*$G$5+C26*$G$6+H26*$G$7+C25*$G$8+H25*$G$9+C24*$G$10+H24*$G$11+C23*$G$12</f>
        <v>3.0037805401292843</v>
      </c>
    </row>
    <row r="30" spans="2:20">
      <c r="B30" s="8">
        <v>8</v>
      </c>
      <c r="C30" s="9">
        <f t="shared" si="2"/>
        <v>3.4122999999999992</v>
      </c>
      <c r="D30" s="10"/>
      <c r="E30">
        <f>CHOOSE($K$11,K30,L30,M30,N30,O30,P30,Q30,Q30,Q30,Q30)</f>
        <v>3.2733659946705851</v>
      </c>
      <c r="F30" s="10">
        <f t="shared" si="4"/>
        <v>-0.13893400532941413</v>
      </c>
      <c r="G30">
        <f t="shared" si="9"/>
        <v>1.9302657836873675E-2</v>
      </c>
      <c r="H30" s="12">
        <f t="shared" si="3"/>
        <v>0.45889999999999986</v>
      </c>
      <c r="K30">
        <f t="shared" si="5"/>
        <v>3.3228064179017123</v>
      </c>
      <c r="L30">
        <f t="shared" si="7"/>
        <v>3.5340394804549677</v>
      </c>
      <c r="M30">
        <f t="shared" si="8"/>
        <v>3.4276630446491052</v>
      </c>
      <c r="N30">
        <f t="shared" si="10"/>
        <v>3.3515021635925883</v>
      </c>
      <c r="O30">
        <f t="shared" si="11"/>
        <v>3.2733659946705851</v>
      </c>
      <c r="P30">
        <f t="shared" ref="P30:P61" si="12">$G$1+C29*$G$2+H29*$G$3+C28*$G$4+H28*$G$5+C27*$G$6+H27*$G$7+C26*$G$8+H26*$G$9+C25*$G$10+H25*$G$11+C24*$G$12+H24*$G$13</f>
        <v>4.1773876601663336</v>
      </c>
      <c r="Q30">
        <f>$G$1+C29*$G$2+H29*$G$3+C28*$G$4+H28*$G$5+C27*$G$6+H27*$G$7+C26*$G$8+H26*$G$9+C25*$G$10+H25*$G$11+C24*$G$12+H24*$G$13+C23*$G$14</f>
        <v>4.2186394651805372</v>
      </c>
    </row>
    <row r="31" spans="2:20">
      <c r="B31" s="8">
        <v>9</v>
      </c>
      <c r="C31" s="9">
        <f t="shared" si="2"/>
        <v>3.8711999999999991</v>
      </c>
      <c r="D31" s="10"/>
      <c r="E31">
        <f>CHOOSE($K$11,K31,L31,M31,N31,O31,P31,Q31,R31,R31,R31)</f>
        <v>3.7023123857943032</v>
      </c>
      <c r="F31" s="10">
        <f t="shared" si="4"/>
        <v>-0.16888761420569587</v>
      </c>
      <c r="G31">
        <f t="shared" si="9"/>
        <v>2.8523026232091964E-2</v>
      </c>
      <c r="H31" s="12">
        <f t="shared" si="3"/>
        <v>0.45889999999999986</v>
      </c>
      <c r="K31">
        <f t="shared" si="5"/>
        <v>3.7436939576666126</v>
      </c>
      <c r="L31">
        <f t="shared" si="7"/>
        <v>3.996815412913338</v>
      </c>
      <c r="M31">
        <f t="shared" si="8"/>
        <v>3.865705419452107</v>
      </c>
      <c r="N31">
        <f t="shared" si="10"/>
        <v>3.7552611561310854</v>
      </c>
      <c r="O31">
        <f t="shared" si="11"/>
        <v>3.7023123857943032</v>
      </c>
      <c r="P31">
        <f t="shared" si="12"/>
        <v>4.9719877202784071</v>
      </c>
      <c r="Q31">
        <f t="shared" ref="Q31:Q62" si="13">$G$1+C30*$G$2+H30*$G$3+C29*$G$4+H29*$G$5+C28*$G$6+H28*$G$7+C27*$G$8+H27*$G$9+C26*$G$10+H26*$G$11+C25*$G$12+H25*$G$13+C24*$G$14+H24*$G$15</f>
        <v>5.4466081758624689</v>
      </c>
      <c r="R31">
        <f>$G$1+C30*$G$2+H30*$G$3+C29*$G$4+H29*$G$5+C28*$G$6+H28*$G$7+C27*$G$8+H27*$G$9+C26*$G$10+H26*$G$11+C25*$G$12+H25*$G$13+C24*$G$14+H24*$G$15+C23*$G$16</f>
        <v>5.5397631800181655</v>
      </c>
    </row>
    <row r="32" spans="2:20">
      <c r="B32" s="8">
        <v>10</v>
      </c>
      <c r="C32" s="9">
        <f>C31-0.4589</f>
        <v>3.4122999999999992</v>
      </c>
      <c r="D32" s="10"/>
      <c r="E32">
        <f>CHOOSE($K$11,K32,L32,M32,N32,O32,P32,Q32,R32,S32,S32)</f>
        <v>4.1312587769180213</v>
      </c>
      <c r="F32" s="10">
        <f t="shared" si="4"/>
        <v>0.71895877691802212</v>
      </c>
      <c r="G32">
        <f t="shared" si="9"/>
        <v>0.51690172290745828</v>
      </c>
      <c r="H32" s="12">
        <f t="shared" si="3"/>
        <v>-0.45889999999999986</v>
      </c>
      <c r="K32">
        <f t="shared" si="5"/>
        <v>4.164581497431513</v>
      </c>
      <c r="L32">
        <f t="shared" si="7"/>
        <v>4.4595913453717078</v>
      </c>
      <c r="M32">
        <f t="shared" si="8"/>
        <v>4.3037477942551083</v>
      </c>
      <c r="N32">
        <f t="shared" si="10"/>
        <v>4.1590201486695824</v>
      </c>
      <c r="O32">
        <f t="shared" si="11"/>
        <v>4.1312587769180213</v>
      </c>
      <c r="P32">
        <f t="shared" si="12"/>
        <v>5.7665877803904815</v>
      </c>
      <c r="Q32">
        <f t="shared" si="13"/>
        <v>6.3358605025796333</v>
      </c>
      <c r="R32">
        <f t="shared" ref="R32:R63" si="14">$G$1+C31*$G$2+H31*$G$3+C30*$G$4+H30*$G$5+C29*$G$6+H29*$G$7+C28*$G$8+H28*$G$9+C27*$G$10+H27*$G$11+C26*$G$12+H26*$G$13+C25*$G$14+H25*$G$15+C24*$G$16+H24*$G$17</f>
        <v>6.6824252241369484</v>
      </c>
      <c r="S32">
        <f>$G$1+C31*$G$2+H31*$G$3+C30*$G$4+H30*$G$5+C29*$G$6+H29*$G$7+C28*$G$8+H28*$G$9+C27*$G$10+H27*$G$11+C26*$G$12+H26*$G$13+C25*$G$14+H25*$G$15+C24*$G$16+H24*$G$17+C23*$G$18</f>
        <v>6.8710518847074393</v>
      </c>
    </row>
    <row r="33" spans="2:20">
      <c r="B33" s="8">
        <v>11</v>
      </c>
      <c r="C33" s="9">
        <f t="shared" ref="C33:C36" si="15">C32-0.4589</f>
        <v>2.9533999999999994</v>
      </c>
      <c r="D33" s="10"/>
      <c r="E33">
        <f>CHOOSE($K$11,K33,L33,M33,N33,O33,P33,Q33,R33,S33,T33)</f>
        <v>3.1078857146361183</v>
      </c>
      <c r="F33" s="10">
        <f t="shared" si="4"/>
        <v>0.15448571463611893</v>
      </c>
      <c r="G33">
        <f t="shared" si="9"/>
        <v>2.3865836026632371E-2</v>
      </c>
      <c r="H33" s="12">
        <f t="shared" si="3"/>
        <v>-0.45889999999999986</v>
      </c>
      <c r="K33">
        <f t="shared" si="5"/>
        <v>3.1331495837907926</v>
      </c>
      <c r="L33">
        <f t="shared" si="7"/>
        <v>3.4700478244244573</v>
      </c>
      <c r="M33">
        <f t="shared" si="8"/>
        <v>3.2894707156524894</v>
      </c>
      <c r="N33">
        <f t="shared" si="10"/>
        <v>3.1104596878024577</v>
      </c>
      <c r="O33">
        <f t="shared" si="11"/>
        <v>3.1078857146361183</v>
      </c>
      <c r="P33">
        <f t="shared" si="12"/>
        <v>5.1088683870969342</v>
      </c>
      <c r="Q33">
        <f t="shared" si="13"/>
        <v>5.7727933758911769</v>
      </c>
      <c r="R33">
        <f t="shared" si="14"/>
        <v>6.3331022544837383</v>
      </c>
      <c r="S33">
        <f t="shared" ref="S33:S64" si="16">$G$1+C32*$G$2+H32*$G$3+C31*$G$4+H31*$G$5+C30*$G$6+H30*$G$7+C29*$G$8+H29*$G$9+C28*$G$10+H28*$G$11+C27*$G$12+H27*$G$13+C26*$G$14+H26*$G$15+C25*$G$16+H25*$G$17+C24*$G$18+H24*$G$19</f>
        <v>7.1810582076129892</v>
      </c>
      <c r="T33">
        <f t="shared" ref="T33:T64" si="17">$G$1+C32*$G$2+H32*$G$3+C31*$G$4+H31*$G$5+C30*$G$6+H30*$G$7+C29*$G$8+H29*$G$9+C28*$G$10+H28*$G$11+C27*$G$12+H27*$G$13+C26*$G$14+H26*$G$15+C25*$G$16+H25*$G$17+C24*$G$18+H24*$G$19+C23*$G$20+H23*$G$21</f>
        <v>7.2225212161251333</v>
      </c>
    </row>
    <row r="34" spans="2:20">
      <c r="B34" s="8">
        <v>12</v>
      </c>
      <c r="C34" s="9">
        <f t="shared" si="15"/>
        <v>2.4944999999999995</v>
      </c>
      <c r="D34" s="10"/>
      <c r="E34">
        <f t="shared" ref="E34:E82" si="18">CHOOSE($K$11,K34,L34,M34,N34,O34,P34,Q34,R34,S34,T34)</f>
        <v>2.6442100432757445</v>
      </c>
      <c r="F34" s="10">
        <f t="shared" si="4"/>
        <v>0.149710043275745</v>
      </c>
      <c r="G34">
        <f t="shared" si="9"/>
        <v>2.2413097057625439E-2</v>
      </c>
      <c r="H34" s="12">
        <f t="shared" si="3"/>
        <v>-0.45889999999999986</v>
      </c>
      <c r="K34">
        <f t="shared" si="5"/>
        <v>2.7122620440258922</v>
      </c>
      <c r="L34">
        <f t="shared" si="7"/>
        <v>3.0402016943987364</v>
      </c>
      <c r="M34">
        <f t="shared" si="8"/>
        <v>2.8348910279713997</v>
      </c>
      <c r="N34">
        <f t="shared" si="10"/>
        <v>2.6215966178568628</v>
      </c>
      <c r="O34">
        <f t="shared" si="11"/>
        <v>2.6442100432757445</v>
      </c>
      <c r="P34">
        <f t="shared" si="12"/>
        <v>5.0108463847249167</v>
      </c>
      <c r="Q34">
        <f t="shared" si="13"/>
        <v>5.7694236401242502</v>
      </c>
      <c r="R34">
        <f t="shared" si="14"/>
        <v>6.5434766757520588</v>
      </c>
      <c r="S34">
        <f t="shared" si="16"/>
        <v>7.8242365015603008</v>
      </c>
      <c r="T34">
        <f t="shared" si="17"/>
        <v>8.0355198454171752</v>
      </c>
    </row>
    <row r="35" spans="2:20">
      <c r="B35" s="8">
        <v>13</v>
      </c>
      <c r="C35" s="9">
        <f t="shared" si="15"/>
        <v>2.0355999999999996</v>
      </c>
      <c r="D35" s="10"/>
      <c r="E35">
        <f t="shared" si="18"/>
        <v>2.1903970996029702</v>
      </c>
      <c r="F35" s="10">
        <f t="shared" si="4"/>
        <v>0.15479709960297061</v>
      </c>
      <c r="G35">
        <f t="shared" si="9"/>
        <v>2.3962142045492005E-2</v>
      </c>
      <c r="H35" s="12">
        <f t="shared" si="3"/>
        <v>-0.45889999999999986</v>
      </c>
      <c r="K35">
        <f t="shared" si="5"/>
        <v>2.2913745042609914</v>
      </c>
      <c r="L35">
        <f t="shared" si="7"/>
        <v>2.5774257619403662</v>
      </c>
      <c r="M35">
        <f t="shared" si="8"/>
        <v>2.3901740679779091</v>
      </c>
      <c r="N35">
        <f t="shared" si="10"/>
        <v>2.1425962755988675</v>
      </c>
      <c r="O35">
        <f t="shared" si="11"/>
        <v>2.1903970996029702</v>
      </c>
      <c r="P35">
        <f t="shared" si="12"/>
        <v>4.9226871100404983</v>
      </c>
      <c r="Q35">
        <f t="shared" si="13"/>
        <v>5.7759166320449227</v>
      </c>
      <c r="R35">
        <f t="shared" si="14"/>
        <v>6.7637138247079776</v>
      </c>
      <c r="S35">
        <f t="shared" si="16"/>
        <v>8.4772775231952107</v>
      </c>
      <c r="T35">
        <f t="shared" si="17"/>
        <v>8.7836977400832001</v>
      </c>
    </row>
    <row r="36" spans="2:20">
      <c r="B36" s="8">
        <v>14</v>
      </c>
      <c r="C36" s="9">
        <f t="shared" si="15"/>
        <v>1.5766999999999998</v>
      </c>
      <c r="D36" s="10"/>
      <c r="E36">
        <f t="shared" si="18"/>
        <v>1.7285638778457733</v>
      </c>
      <c r="F36" s="10">
        <f t="shared" si="4"/>
        <v>0.15186387784577349</v>
      </c>
      <c r="G36">
        <f t="shared" si="9"/>
        <v>2.306263739435601E-2</v>
      </c>
      <c r="H36" s="12">
        <f t="shared" si="3"/>
        <v>-0.45889999999999986</v>
      </c>
      <c r="K36">
        <f t="shared" si="5"/>
        <v>1.8704869644960911</v>
      </c>
      <c r="L36">
        <f t="shared" si="7"/>
        <v>2.114649829481996</v>
      </c>
      <c r="M36">
        <f t="shared" si="8"/>
        <v>1.9521316931749069</v>
      </c>
      <c r="N36">
        <f t="shared" si="10"/>
        <v>1.6555756552564496</v>
      </c>
      <c r="O36">
        <f t="shared" si="11"/>
        <v>1.7285638778457733</v>
      </c>
      <c r="P36">
        <f t="shared" si="12"/>
        <v>4.8265075572716576</v>
      </c>
      <c r="Q36">
        <f t="shared" si="13"/>
        <v>5.7743893458811728</v>
      </c>
      <c r="R36">
        <f t="shared" si="14"/>
        <v>6.9759306955794749</v>
      </c>
      <c r="S36">
        <f t="shared" si="16"/>
        <v>9.1222982667456982</v>
      </c>
      <c r="T36">
        <f t="shared" si="17"/>
        <v>9.5238553566648019</v>
      </c>
    </row>
    <row r="37" spans="2:20">
      <c r="B37" s="8">
        <v>15</v>
      </c>
      <c r="C37" s="9">
        <f t="shared" ref="C37:C45" si="19">C36+0.4589</f>
        <v>2.0355999999999996</v>
      </c>
      <c r="D37" s="10"/>
      <c r="E37">
        <f t="shared" si="18"/>
        <v>1.5785940047297595</v>
      </c>
      <c r="F37" s="10">
        <f t="shared" si="4"/>
        <v>-0.45700599527024011</v>
      </c>
      <c r="G37">
        <f t="shared" si="9"/>
        <v>0.20885447971294271</v>
      </c>
      <c r="H37" s="12">
        <f t="shared" si="3"/>
        <v>0.45889999999999986</v>
      </c>
      <c r="K37">
        <f t="shared" si="5"/>
        <v>1.4495994247311907</v>
      </c>
      <c r="L37">
        <f t="shared" si="7"/>
        <v>1.651873897023626</v>
      </c>
      <c r="M37">
        <f t="shared" si="8"/>
        <v>1.5140893183719053</v>
      </c>
      <c r="N37">
        <f t="shared" si="10"/>
        <v>1.251816662717953</v>
      </c>
      <c r="O37">
        <f t="shared" si="11"/>
        <v>1.5785940047297595</v>
      </c>
      <c r="P37">
        <f t="shared" si="12"/>
        <v>5.0421913531440001</v>
      </c>
      <c r="Q37">
        <f t="shared" si="13"/>
        <v>6.0847254083586071</v>
      </c>
      <c r="R37">
        <f t="shared" si="14"/>
        <v>7.5000109150921555</v>
      </c>
      <c r="S37">
        <f t="shared" si="16"/>
        <v>10.07918235893737</v>
      </c>
      <c r="T37">
        <f t="shared" si="17"/>
        <v>10.57587632188759</v>
      </c>
    </row>
    <row r="38" spans="2:20">
      <c r="B38" s="8">
        <v>16</v>
      </c>
      <c r="C38" s="9">
        <f t="shared" si="19"/>
        <v>2.4944999999999995</v>
      </c>
      <c r="D38" s="10"/>
      <c r="E38">
        <f t="shared" si="18"/>
        <v>2.6019670670116626</v>
      </c>
      <c r="F38" s="10">
        <f t="shared" si="4"/>
        <v>0.10746706701166309</v>
      </c>
      <c r="G38">
        <f t="shared" si="9"/>
        <v>1.1549170492089285E-2</v>
      </c>
      <c r="H38" s="12">
        <f t="shared" si="3"/>
        <v>0.45889999999999986</v>
      </c>
      <c r="K38">
        <f t="shared" si="5"/>
        <v>2.4810313383719111</v>
      </c>
      <c r="L38">
        <f t="shared" si="7"/>
        <v>2.6414174179708763</v>
      </c>
      <c r="M38">
        <f t="shared" si="8"/>
        <v>2.5283663969745245</v>
      </c>
      <c r="N38">
        <f t="shared" si="10"/>
        <v>2.3003771235850774</v>
      </c>
      <c r="O38">
        <f t="shared" si="11"/>
        <v>2.6019670670116626</v>
      </c>
      <c r="P38">
        <f t="shared" si="12"/>
        <v>4.9418966265875968</v>
      </c>
      <c r="Q38">
        <f t="shared" si="13"/>
        <v>6.0790829484072946</v>
      </c>
      <c r="R38">
        <f t="shared" si="14"/>
        <v>7.7081126121760892</v>
      </c>
      <c r="S38">
        <f t="shared" si="16"/>
        <v>10.720087928700297</v>
      </c>
      <c r="T38">
        <f t="shared" si="17"/>
        <v>11.31191876468163</v>
      </c>
    </row>
    <row r="39" spans="2:20">
      <c r="B39" s="8">
        <v>17</v>
      </c>
      <c r="C39" s="9">
        <f t="shared" si="19"/>
        <v>2.9533999999999994</v>
      </c>
      <c r="D39" s="10"/>
      <c r="E39">
        <f t="shared" si="18"/>
        <v>3.0656427383720359</v>
      </c>
      <c r="F39" s="10">
        <f t="shared" si="4"/>
        <v>0.11224273837203658</v>
      </c>
      <c r="G39">
        <f t="shared" si="9"/>
        <v>1.2598432317253452E-2</v>
      </c>
      <c r="H39" s="12">
        <f t="shared" si="3"/>
        <v>0.45889999999999986</v>
      </c>
      <c r="K39">
        <f t="shared" si="5"/>
        <v>2.9019188781368115</v>
      </c>
      <c r="L39">
        <f t="shared" si="7"/>
        <v>3.0712635479965971</v>
      </c>
      <c r="M39">
        <f t="shared" si="8"/>
        <v>2.9829460846556137</v>
      </c>
      <c r="N39">
        <f t="shared" si="10"/>
        <v>2.7892401935306719</v>
      </c>
      <c r="O39">
        <f t="shared" si="11"/>
        <v>3.0656427383720359</v>
      </c>
      <c r="P39">
        <f t="shared" si="12"/>
        <v>5.0399186289596143</v>
      </c>
      <c r="Q39">
        <f t="shared" si="13"/>
        <v>5.4050199162446901</v>
      </c>
      <c r="R39">
        <f t="shared" si="14"/>
        <v>7.247793737048732</v>
      </c>
      <c r="S39">
        <f t="shared" si="16"/>
        <v>10.69257292625193</v>
      </c>
      <c r="T39">
        <f t="shared" si="17"/>
        <v>11.379540635264378</v>
      </c>
    </row>
    <row r="40" spans="2:20">
      <c r="B40" s="8">
        <v>18</v>
      </c>
      <c r="C40" s="9">
        <f t="shared" si="19"/>
        <v>3.4122999999999992</v>
      </c>
      <c r="D40" s="10"/>
      <c r="E40">
        <f t="shared" si="18"/>
        <v>3.5194556820448106</v>
      </c>
      <c r="F40" s="10">
        <f t="shared" si="4"/>
        <v>0.10715568204481141</v>
      </c>
      <c r="G40">
        <f t="shared" si="9"/>
        <v>1.1482340194488717E-2</v>
      </c>
      <c r="H40" s="12">
        <f t="shared" si="3"/>
        <v>0.45889999999999986</v>
      </c>
      <c r="K40">
        <f t="shared" si="5"/>
        <v>3.3228064179017123</v>
      </c>
      <c r="L40">
        <f t="shared" si="7"/>
        <v>3.5340394804549677</v>
      </c>
      <c r="M40">
        <f t="shared" si="8"/>
        <v>3.4276630446491052</v>
      </c>
      <c r="N40">
        <f t="shared" si="10"/>
        <v>3.2682405357886681</v>
      </c>
      <c r="O40">
        <f t="shared" si="11"/>
        <v>3.5194556820448106</v>
      </c>
      <c r="P40">
        <f t="shared" si="12"/>
        <v>5.1280779036440327</v>
      </c>
      <c r="Q40">
        <f t="shared" si="13"/>
        <v>5.3985269243240168</v>
      </c>
      <c r="R40">
        <f t="shared" si="14"/>
        <v>6.9482254673600687</v>
      </c>
      <c r="S40">
        <f t="shared" si="16"/>
        <v>10.825808529242259</v>
      </c>
      <c r="T40">
        <f t="shared" si="17"/>
        <v>11.607913111285823</v>
      </c>
    </row>
    <row r="41" spans="2:20">
      <c r="B41" s="8">
        <v>19</v>
      </c>
      <c r="C41" s="9">
        <f t="shared" si="19"/>
        <v>3.8711999999999991</v>
      </c>
      <c r="D41" s="10"/>
      <c r="E41">
        <f t="shared" si="18"/>
        <v>3.9812889038020067</v>
      </c>
      <c r="F41" s="10">
        <f t="shared" si="4"/>
        <v>0.11008890380200764</v>
      </c>
      <c r="G41">
        <f t="shared" si="9"/>
        <v>1.2119566740327693E-2</v>
      </c>
      <c r="H41" s="12">
        <f t="shared" si="3"/>
        <v>0.45889999999999986</v>
      </c>
      <c r="K41">
        <f t="shared" si="5"/>
        <v>3.7436939576666126</v>
      </c>
      <c r="L41">
        <f t="shared" si="7"/>
        <v>3.996815412913338</v>
      </c>
      <c r="M41">
        <f t="shared" si="8"/>
        <v>3.865705419452107</v>
      </c>
      <c r="N41">
        <f t="shared" si="10"/>
        <v>3.7552611561310854</v>
      </c>
      <c r="O41">
        <f t="shared" si="11"/>
        <v>3.9812889038020067</v>
      </c>
      <c r="P41">
        <f t="shared" si="12"/>
        <v>5.2242574564128734</v>
      </c>
      <c r="Q41">
        <f t="shared" si="13"/>
        <v>5.4000542104877667</v>
      </c>
      <c r="R41">
        <f t="shared" si="14"/>
        <v>6.7360085964885723</v>
      </c>
      <c r="S41">
        <f t="shared" si="16"/>
        <v>9.7277369459322358</v>
      </c>
      <c r="T41">
        <f t="shared" si="17"/>
        <v>10.604978401006914</v>
      </c>
    </row>
    <row r="42" spans="2:20">
      <c r="B42" s="8">
        <v>20</v>
      </c>
      <c r="C42" s="9">
        <f t="shared" si="19"/>
        <v>4.3300999999999989</v>
      </c>
      <c r="D42" s="10"/>
      <c r="E42">
        <f t="shared" si="18"/>
        <v>4.1312587769180213</v>
      </c>
      <c r="F42" s="10">
        <f t="shared" si="4"/>
        <v>-0.1988412230819776</v>
      </c>
      <c r="G42">
        <f t="shared" si="9"/>
        <v>3.9537831996736786E-2</v>
      </c>
      <c r="H42" s="12">
        <f t="shared" si="3"/>
        <v>0.45889999999999986</v>
      </c>
      <c r="K42">
        <f t="shared" si="5"/>
        <v>4.164581497431513</v>
      </c>
      <c r="L42">
        <f t="shared" si="7"/>
        <v>4.4595913453717078</v>
      </c>
      <c r="M42">
        <f t="shared" si="8"/>
        <v>4.3037477942551083</v>
      </c>
      <c r="N42">
        <f t="shared" si="10"/>
        <v>4.1590201486695824</v>
      </c>
      <c r="O42">
        <f t="shared" si="11"/>
        <v>4.1312587769180213</v>
      </c>
      <c r="P42">
        <f t="shared" si="12"/>
        <v>5.0085736605405318</v>
      </c>
      <c r="Q42">
        <f t="shared" si="13"/>
        <v>5.0897181480103342</v>
      </c>
      <c r="R42">
        <f t="shared" si="14"/>
        <v>6.2119283769758926</v>
      </c>
      <c r="S42">
        <f t="shared" si="16"/>
        <v>8.7708528537405659</v>
      </c>
      <c r="T42">
        <f t="shared" si="17"/>
        <v>9.4035905111568994</v>
      </c>
    </row>
    <row r="43" spans="2:20">
      <c r="B43" s="8">
        <v>21</v>
      </c>
      <c r="C43" s="9">
        <f t="shared" si="19"/>
        <v>4.7889999999999988</v>
      </c>
      <c r="D43" s="10"/>
      <c r="E43">
        <f t="shared" si="18"/>
        <v>4.5602051680417377</v>
      </c>
      <c r="F43" s="10">
        <f t="shared" si="4"/>
        <v>-0.22879483195826111</v>
      </c>
      <c r="G43">
        <f t="shared" si="9"/>
        <v>5.234707513080894E-2</v>
      </c>
      <c r="H43" s="12">
        <f t="shared" si="3"/>
        <v>0.45889999999999986</v>
      </c>
      <c r="K43">
        <f t="shared" si="5"/>
        <v>4.5854690371964129</v>
      </c>
      <c r="L43">
        <f t="shared" si="7"/>
        <v>4.9223672778300775</v>
      </c>
      <c r="M43">
        <f t="shared" si="8"/>
        <v>4.7417901690581097</v>
      </c>
      <c r="N43">
        <f t="shared" si="10"/>
        <v>4.562779141208078</v>
      </c>
      <c r="O43">
        <f t="shared" si="11"/>
        <v>4.5602051680417377</v>
      </c>
      <c r="P43">
        <f t="shared" si="12"/>
        <v>6.5611878405025532</v>
      </c>
      <c r="Q43">
        <f t="shared" si="13"/>
        <v>6.5476800613672648</v>
      </c>
      <c r="R43">
        <f t="shared" si="14"/>
        <v>7.4561461332975769</v>
      </c>
      <c r="S43">
        <f t="shared" si="16"/>
        <v>9.5822667373832573</v>
      </c>
      <c r="T43">
        <f t="shared" si="17"/>
        <v>10.119867521768475</v>
      </c>
    </row>
    <row r="44" spans="2:20">
      <c r="B44" s="8">
        <v>22</v>
      </c>
      <c r="C44" s="9">
        <f t="shared" si="19"/>
        <v>5.2478999999999987</v>
      </c>
      <c r="D44" s="10"/>
      <c r="E44">
        <f t="shared" si="18"/>
        <v>4.9891515591654567</v>
      </c>
      <c r="F44" s="10">
        <f t="shared" si="4"/>
        <v>-0.25874844083454196</v>
      </c>
      <c r="G44">
        <f t="shared" si="9"/>
        <v>6.6950755634306455E-2</v>
      </c>
      <c r="H44" s="12">
        <f t="shared" si="3"/>
        <v>0.45889999999999986</v>
      </c>
      <c r="K44">
        <f t="shared" si="5"/>
        <v>5.0063565769613136</v>
      </c>
      <c r="L44">
        <f t="shared" si="7"/>
        <v>5.3851432102884482</v>
      </c>
      <c r="M44">
        <f t="shared" si="8"/>
        <v>5.1798325438611119</v>
      </c>
      <c r="N44">
        <f t="shared" si="10"/>
        <v>4.9665381337465755</v>
      </c>
      <c r="O44">
        <f t="shared" si="11"/>
        <v>4.9891515591654567</v>
      </c>
      <c r="P44">
        <f t="shared" si="12"/>
        <v>7.3557879006146285</v>
      </c>
      <c r="Q44">
        <f t="shared" si="13"/>
        <v>8.114365156013962</v>
      </c>
      <c r="R44">
        <f t="shared" si="14"/>
        <v>8.8090870709090279</v>
      </c>
      <c r="S44">
        <f t="shared" si="16"/>
        <v>10.502403802315717</v>
      </c>
      <c r="T44">
        <f t="shared" si="17"/>
        <v>10.94486771366982</v>
      </c>
    </row>
    <row r="45" spans="2:20">
      <c r="B45" s="8">
        <v>23</v>
      </c>
      <c r="C45" s="9">
        <f t="shared" si="19"/>
        <v>5.7067999999999985</v>
      </c>
      <c r="D45" s="10"/>
      <c r="E45">
        <f t="shared" si="18"/>
        <v>5.418097950289174</v>
      </c>
      <c r="F45" s="10">
        <f t="shared" si="4"/>
        <v>-0.28870204971082458</v>
      </c>
      <c r="G45">
        <f t="shared" si="9"/>
        <v>8.3348873507231427E-2</v>
      </c>
      <c r="H45" s="12">
        <f t="shared" si="3"/>
        <v>0.45889999999999986</v>
      </c>
      <c r="K45">
        <f t="shared" si="5"/>
        <v>5.4272441167262135</v>
      </c>
      <c r="L45">
        <f t="shared" si="7"/>
        <v>5.847919142746818</v>
      </c>
      <c r="M45">
        <f t="shared" si="8"/>
        <v>5.6178749186641133</v>
      </c>
      <c r="N45">
        <f t="shared" si="10"/>
        <v>5.3702971262850721</v>
      </c>
      <c r="O45">
        <f t="shared" si="11"/>
        <v>5.418097950289174</v>
      </c>
      <c r="P45">
        <f t="shared" si="12"/>
        <v>8.150387960726702</v>
      </c>
      <c r="Q45">
        <f t="shared" si="13"/>
        <v>9.0036174827311264</v>
      </c>
      <c r="R45">
        <f t="shared" si="14"/>
        <v>9.9914146753941822</v>
      </c>
      <c r="S45">
        <f t="shared" si="16"/>
        <v>11.251927534121881</v>
      </c>
      <c r="T45">
        <f t="shared" si="17"/>
        <v>11.59925457244487</v>
      </c>
    </row>
    <row r="46" spans="2:20">
      <c r="B46" s="8">
        <v>24</v>
      </c>
      <c r="C46" s="9">
        <f t="shared" ref="C46:C72" si="20">C45+0.4589</f>
        <v>6.1656999999999984</v>
      </c>
      <c r="D46" s="10"/>
      <c r="E46">
        <f t="shared" si="18"/>
        <v>5.847044341412893</v>
      </c>
      <c r="F46" s="10">
        <f t="shared" si="4"/>
        <v>-0.31865565858710543</v>
      </c>
      <c r="G46">
        <f t="shared" si="9"/>
        <v>0.1015414287495819</v>
      </c>
      <c r="H46" s="12">
        <f t="shared" si="3"/>
        <v>0.45889999999999986</v>
      </c>
      <c r="K46">
        <f t="shared" si="5"/>
        <v>5.8481316564911143</v>
      </c>
      <c r="L46">
        <f t="shared" si="7"/>
        <v>6.3106950752051887</v>
      </c>
      <c r="M46">
        <f t="shared" si="8"/>
        <v>6.0559172934671155</v>
      </c>
      <c r="N46">
        <f t="shared" si="10"/>
        <v>5.7740561188235695</v>
      </c>
      <c r="O46">
        <f t="shared" si="11"/>
        <v>5.847044341412893</v>
      </c>
      <c r="P46">
        <f t="shared" si="12"/>
        <v>8.9449880208387764</v>
      </c>
      <c r="Q46">
        <f t="shared" si="13"/>
        <v>9.8928698094482925</v>
      </c>
      <c r="R46">
        <f t="shared" si="14"/>
        <v>11.094411159146594</v>
      </c>
      <c r="S46">
        <f t="shared" si="16"/>
        <v>13.240778730312817</v>
      </c>
      <c r="T46">
        <f t="shared" si="17"/>
        <v>13.49296889560469</v>
      </c>
    </row>
    <row r="47" spans="2:20">
      <c r="B47" s="8">
        <v>25</v>
      </c>
      <c r="C47" s="9">
        <f>C46-0.4589</f>
        <v>5.7067999999999985</v>
      </c>
      <c r="D47" s="10"/>
      <c r="E47">
        <f t="shared" si="18"/>
        <v>6.2759907325366102</v>
      </c>
      <c r="F47" s="10">
        <f t="shared" si="4"/>
        <v>0.56919073253661168</v>
      </c>
      <c r="G47">
        <f t="shared" si="9"/>
        <v>0.3239780900055646</v>
      </c>
      <c r="H47" s="12">
        <f t="shared" si="3"/>
        <v>-0.45889999999999986</v>
      </c>
      <c r="K47">
        <f t="shared" si="5"/>
        <v>6.2690191962560142</v>
      </c>
      <c r="L47">
        <f t="shared" si="7"/>
        <v>6.7734710076635585</v>
      </c>
      <c r="M47">
        <f t="shared" si="8"/>
        <v>6.4939596682701168</v>
      </c>
      <c r="N47">
        <f t="shared" si="10"/>
        <v>6.1778151113620652</v>
      </c>
      <c r="O47">
        <f t="shared" si="11"/>
        <v>6.2759907325366102</v>
      </c>
      <c r="P47">
        <f t="shared" si="12"/>
        <v>9.7395880809508508</v>
      </c>
      <c r="Q47">
        <f t="shared" si="13"/>
        <v>10.782122136165457</v>
      </c>
      <c r="R47">
        <f t="shared" si="14"/>
        <v>12.197407642899005</v>
      </c>
      <c r="S47">
        <f t="shared" si="16"/>
        <v>14.776579086744221</v>
      </c>
      <c r="T47">
        <f t="shared" si="17"/>
        <v>15.27327304969444</v>
      </c>
    </row>
    <row r="48" spans="2:20">
      <c r="B48" s="8">
        <v>26</v>
      </c>
      <c r="C48" s="9">
        <f t="shared" ref="C48:C54" si="21">C47-0.4589</f>
        <v>5.2478999999999987</v>
      </c>
      <c r="D48" s="10"/>
      <c r="E48">
        <f t="shared" si="18"/>
        <v>5.2526176702547067</v>
      </c>
      <c r="F48" s="10">
        <f t="shared" si="4"/>
        <v>4.7176702547080396E-3</v>
      </c>
      <c r="G48">
        <f t="shared" si="9"/>
        <v>2.2256412632157018E-5</v>
      </c>
      <c r="H48" s="12">
        <f t="shared" si="3"/>
        <v>-0.45889999999999986</v>
      </c>
      <c r="K48">
        <f t="shared" si="5"/>
        <v>5.2375872826152943</v>
      </c>
      <c r="L48">
        <f t="shared" si="7"/>
        <v>5.7839274867163075</v>
      </c>
      <c r="M48">
        <f t="shared" si="8"/>
        <v>5.4796825896674974</v>
      </c>
      <c r="N48">
        <f t="shared" si="10"/>
        <v>5.129254650494941</v>
      </c>
      <c r="O48">
        <f t="shared" si="11"/>
        <v>5.2526176702547067</v>
      </c>
      <c r="P48">
        <f t="shared" si="12"/>
        <v>9.0818686876573036</v>
      </c>
      <c r="Q48">
        <f t="shared" si="13"/>
        <v>10.219055009477001</v>
      </c>
      <c r="R48">
        <f t="shared" si="14"/>
        <v>11.848084673245797</v>
      </c>
      <c r="S48">
        <f t="shared" si="16"/>
        <v>14.860059989770004</v>
      </c>
      <c r="T48">
        <f t="shared" si="17"/>
        <v>15.451890825751338</v>
      </c>
    </row>
    <row r="49" spans="2:20">
      <c r="B49" s="8">
        <v>27</v>
      </c>
      <c r="C49" s="9">
        <f t="shared" si="21"/>
        <v>4.7889999999999988</v>
      </c>
      <c r="D49" s="10"/>
      <c r="E49">
        <f t="shared" si="18"/>
        <v>4.7889419988943338</v>
      </c>
      <c r="F49" s="10">
        <f t="shared" si="4"/>
        <v>-5.8001105665006492E-5</v>
      </c>
      <c r="G49">
        <f t="shared" si="9"/>
        <v>3.3641282583632479E-9</v>
      </c>
      <c r="H49" s="12">
        <f t="shared" si="3"/>
        <v>-0.45889999999999986</v>
      </c>
      <c r="K49">
        <f t="shared" si="5"/>
        <v>4.8166997428503935</v>
      </c>
      <c r="L49">
        <f t="shared" si="7"/>
        <v>5.3540813566905863</v>
      </c>
      <c r="M49">
        <f t="shared" si="8"/>
        <v>5.0251029019864077</v>
      </c>
      <c r="N49">
        <f t="shared" si="10"/>
        <v>4.6403915805493465</v>
      </c>
      <c r="O49">
        <f t="shared" si="11"/>
        <v>4.7889419988943338</v>
      </c>
      <c r="P49">
        <f t="shared" si="12"/>
        <v>8.9838466852852861</v>
      </c>
      <c r="Q49">
        <f t="shared" si="13"/>
        <v>10.215685273710074</v>
      </c>
      <c r="R49">
        <f t="shared" si="14"/>
        <v>12.058459094514115</v>
      </c>
      <c r="S49">
        <f t="shared" si="16"/>
        <v>15.503238283717312</v>
      </c>
      <c r="T49">
        <f t="shared" si="17"/>
        <v>16.190205992729762</v>
      </c>
    </row>
    <row r="50" spans="2:20">
      <c r="B50" s="8">
        <v>28</v>
      </c>
      <c r="C50" s="9">
        <f t="shared" si="21"/>
        <v>4.3300999999999989</v>
      </c>
      <c r="D50" s="10"/>
      <c r="E50">
        <f t="shared" si="18"/>
        <v>4.33512905522156</v>
      </c>
      <c r="F50" s="10">
        <f t="shared" si="4"/>
        <v>5.0290552215610518E-3</v>
      </c>
      <c r="G50">
        <f t="shared" si="9"/>
        <v>2.5291396421510478E-5</v>
      </c>
      <c r="H50" s="12">
        <f t="shared" si="3"/>
        <v>-0.45889999999999986</v>
      </c>
      <c r="K50">
        <f t="shared" si="5"/>
        <v>4.3958122030854936</v>
      </c>
      <c r="L50">
        <f t="shared" si="7"/>
        <v>4.8913054242322174</v>
      </c>
      <c r="M50">
        <f t="shared" si="8"/>
        <v>4.5803859419929172</v>
      </c>
      <c r="N50">
        <f t="shared" si="10"/>
        <v>4.1613912382913512</v>
      </c>
      <c r="O50">
        <f t="shared" si="11"/>
        <v>4.33512905522156</v>
      </c>
      <c r="P50">
        <f t="shared" si="12"/>
        <v>8.8956874106008677</v>
      </c>
      <c r="Q50">
        <f t="shared" si="13"/>
        <v>10.222178265630747</v>
      </c>
      <c r="R50">
        <f t="shared" si="14"/>
        <v>12.278696243470035</v>
      </c>
      <c r="S50">
        <f t="shared" si="16"/>
        <v>16.156279305352225</v>
      </c>
      <c r="T50">
        <f t="shared" si="17"/>
        <v>16.938383887395787</v>
      </c>
    </row>
    <row r="51" spans="2:20">
      <c r="B51" s="8">
        <v>29</v>
      </c>
      <c r="C51" s="9">
        <f t="shared" si="21"/>
        <v>3.8711999999999991</v>
      </c>
      <c r="D51" s="10"/>
      <c r="E51">
        <f t="shared" si="18"/>
        <v>3.8732958334643635</v>
      </c>
      <c r="F51" s="10">
        <f t="shared" si="4"/>
        <v>2.0958334643643717E-3</v>
      </c>
      <c r="G51">
        <f t="shared" si="9"/>
        <v>4.3925179103495644E-6</v>
      </c>
      <c r="H51" s="12">
        <f t="shared" si="3"/>
        <v>-0.45889999999999986</v>
      </c>
      <c r="K51">
        <f t="shared" si="5"/>
        <v>3.9749246633205928</v>
      </c>
      <c r="L51">
        <f t="shared" si="7"/>
        <v>4.4285294917738467</v>
      </c>
      <c r="M51">
        <f t="shared" si="8"/>
        <v>4.1423435671899149</v>
      </c>
      <c r="N51">
        <f t="shared" si="10"/>
        <v>3.674370617948933</v>
      </c>
      <c r="O51">
        <f t="shared" si="11"/>
        <v>3.8732958334643635</v>
      </c>
      <c r="P51">
        <f t="shared" si="12"/>
        <v>8.7995078578320278</v>
      </c>
      <c r="Q51">
        <f t="shared" si="13"/>
        <v>10.220650979466999</v>
      </c>
      <c r="R51">
        <f t="shared" si="14"/>
        <v>12.490913114341534</v>
      </c>
      <c r="S51">
        <f t="shared" si="16"/>
        <v>16.801300048902714</v>
      </c>
      <c r="T51">
        <f t="shared" si="17"/>
        <v>17.678541503977392</v>
      </c>
    </row>
    <row r="52" spans="2:20">
      <c r="B52" s="8">
        <v>30</v>
      </c>
      <c r="C52" s="9">
        <f t="shared" si="21"/>
        <v>3.4122999999999992</v>
      </c>
      <c r="D52" s="10"/>
      <c r="E52">
        <f t="shared" si="18"/>
        <v>3.7233259603483493</v>
      </c>
      <c r="F52" s="10">
        <f t="shared" si="4"/>
        <v>0.31102596034835006</v>
      </c>
      <c r="G52">
        <f t="shared" si="9"/>
        <v>9.6737148010613422E-2</v>
      </c>
      <c r="H52" s="12">
        <f t="shared" si="3"/>
        <v>-0.45889999999999986</v>
      </c>
      <c r="K52">
        <f t="shared" si="5"/>
        <v>3.5540371235556929</v>
      </c>
      <c r="L52">
        <f t="shared" si="7"/>
        <v>3.9657535593154769</v>
      </c>
      <c r="M52">
        <f t="shared" si="8"/>
        <v>3.704301192386914</v>
      </c>
      <c r="N52">
        <f t="shared" si="10"/>
        <v>3.2706116254104369</v>
      </c>
      <c r="O52">
        <f t="shared" si="11"/>
        <v>3.7233259603483493</v>
      </c>
      <c r="P52">
        <f t="shared" si="12"/>
        <v>9.0151916537043686</v>
      </c>
      <c r="Q52">
        <f t="shared" si="13"/>
        <v>10.53098704194443</v>
      </c>
      <c r="R52">
        <f t="shared" si="14"/>
        <v>13.014993333854212</v>
      </c>
      <c r="S52">
        <f t="shared" si="16"/>
        <v>17.758184141094386</v>
      </c>
      <c r="T52">
        <f t="shared" si="17"/>
        <v>18.73056246920018</v>
      </c>
    </row>
    <row r="53" spans="2:20">
      <c r="B53" s="8">
        <v>31</v>
      </c>
      <c r="C53" s="9">
        <f t="shared" si="21"/>
        <v>2.9533999999999994</v>
      </c>
      <c r="D53" s="10"/>
      <c r="E53">
        <f t="shared" si="18"/>
        <v>3.2943795692246316</v>
      </c>
      <c r="F53" s="10">
        <f t="shared" si="4"/>
        <v>0.34097956922463224</v>
      </c>
      <c r="G53">
        <f t="shared" si="9"/>
        <v>0.11626706662861577</v>
      </c>
      <c r="H53" s="12">
        <f t="shared" si="3"/>
        <v>-0.45889999999999986</v>
      </c>
      <c r="K53">
        <f t="shared" si="5"/>
        <v>3.1331495837907926</v>
      </c>
      <c r="L53">
        <f t="shared" si="7"/>
        <v>3.5029776268571067</v>
      </c>
      <c r="M53">
        <f t="shared" si="8"/>
        <v>3.2662588175839122</v>
      </c>
      <c r="N53">
        <f t="shared" si="10"/>
        <v>2.8668526328719404</v>
      </c>
      <c r="O53">
        <f t="shared" si="11"/>
        <v>3.2943795692246316</v>
      </c>
      <c r="P53">
        <f t="shared" si="12"/>
        <v>7.4625774737423463</v>
      </c>
      <c r="Q53">
        <f t="shared" si="13"/>
        <v>9.0730251285874992</v>
      </c>
      <c r="R53">
        <f t="shared" si="14"/>
        <v>11.770775577532527</v>
      </c>
      <c r="S53">
        <f t="shared" si="16"/>
        <v>16.946770257451693</v>
      </c>
      <c r="T53">
        <f t="shared" si="17"/>
        <v>18.014285458588599</v>
      </c>
    </row>
    <row r="54" spans="2:20">
      <c r="B54" s="8">
        <v>32</v>
      </c>
      <c r="C54" s="9">
        <f t="shared" si="21"/>
        <v>2.4944999999999995</v>
      </c>
      <c r="D54" s="10"/>
      <c r="E54">
        <f t="shared" si="18"/>
        <v>2.8654331781009135</v>
      </c>
      <c r="F54" s="10">
        <f t="shared" si="4"/>
        <v>0.37093317810091397</v>
      </c>
      <c r="G54">
        <f t="shared" si="9"/>
        <v>0.13759142261604437</v>
      </c>
      <c r="H54" s="12">
        <f t="shared" si="3"/>
        <v>-0.45889999999999986</v>
      </c>
      <c r="K54">
        <f t="shared" si="5"/>
        <v>2.7122620440258922</v>
      </c>
      <c r="L54">
        <f t="shared" si="7"/>
        <v>3.0402016943987364</v>
      </c>
      <c r="M54">
        <f t="shared" si="8"/>
        <v>2.8282164427809104</v>
      </c>
      <c r="N54">
        <f t="shared" si="10"/>
        <v>2.4630936403334434</v>
      </c>
      <c r="O54">
        <f t="shared" si="11"/>
        <v>2.8654331781009135</v>
      </c>
      <c r="P54">
        <f t="shared" si="12"/>
        <v>6.6679774136302719</v>
      </c>
      <c r="Q54">
        <f t="shared" si="13"/>
        <v>7.506340033940802</v>
      </c>
      <c r="R54">
        <f t="shared" si="14"/>
        <v>10.417834639921077</v>
      </c>
      <c r="S54">
        <f t="shared" si="16"/>
        <v>16.026633192519231</v>
      </c>
      <c r="T54">
        <f t="shared" si="17"/>
        <v>17.189285266687254</v>
      </c>
    </row>
    <row r="55" spans="2:20">
      <c r="B55" s="8">
        <v>33</v>
      </c>
      <c r="C55" s="9">
        <f t="shared" si="20"/>
        <v>2.9533999999999994</v>
      </c>
      <c r="D55" s="10"/>
      <c r="E55">
        <f t="shared" si="18"/>
        <v>2.4364867869771958</v>
      </c>
      <c r="F55" s="10">
        <f t="shared" si="4"/>
        <v>-0.51691321302280357</v>
      </c>
      <c r="G55">
        <f t="shared" si="9"/>
        <v>0.26719926979755831</v>
      </c>
      <c r="H55" s="12">
        <f t="shared" si="3"/>
        <v>0.45889999999999986</v>
      </c>
      <c r="K55">
        <f t="shared" si="5"/>
        <v>2.2913745042609914</v>
      </c>
      <c r="L55">
        <f t="shared" si="7"/>
        <v>2.5774257619403662</v>
      </c>
      <c r="M55">
        <f t="shared" si="8"/>
        <v>2.3901740679779091</v>
      </c>
      <c r="N55">
        <f t="shared" si="10"/>
        <v>2.0593346477949472</v>
      </c>
      <c r="O55">
        <f t="shared" si="11"/>
        <v>2.4364867869771958</v>
      </c>
      <c r="P55">
        <f t="shared" si="12"/>
        <v>5.8733773535181975</v>
      </c>
      <c r="Q55">
        <f t="shared" si="13"/>
        <v>6.6170877072236367</v>
      </c>
      <c r="R55">
        <f t="shared" si="14"/>
        <v>9.2355070354359228</v>
      </c>
      <c r="S55">
        <f t="shared" si="16"/>
        <v>15.277109460713071</v>
      </c>
      <c r="T55">
        <f t="shared" si="17"/>
        <v>16.534898407912209</v>
      </c>
    </row>
    <row r="56" spans="2:20">
      <c r="B56" s="8">
        <v>34</v>
      </c>
      <c r="C56" s="9">
        <f t="shared" si="20"/>
        <v>3.4122999999999992</v>
      </c>
      <c r="D56" s="10"/>
      <c r="E56">
        <f t="shared" si="18"/>
        <v>3.4598598492590988</v>
      </c>
      <c r="F56" s="10">
        <f t="shared" si="4"/>
        <v>4.7559849259099618E-2</v>
      </c>
      <c r="G56">
        <f t="shared" si="9"/>
        <v>2.2619392615482784E-3</v>
      </c>
      <c r="H56" s="12">
        <f t="shared" ref="H56:H82" si="22">C56-C55</f>
        <v>0.45889999999999986</v>
      </c>
      <c r="K56">
        <f t="shared" si="5"/>
        <v>3.3228064179017123</v>
      </c>
      <c r="L56">
        <f t="shared" si="7"/>
        <v>3.5669692828876172</v>
      </c>
      <c r="M56">
        <f t="shared" si="8"/>
        <v>3.4044511465805285</v>
      </c>
      <c r="N56">
        <f t="shared" si="10"/>
        <v>3.1078951086620714</v>
      </c>
      <c r="O56">
        <f t="shared" si="11"/>
        <v>3.4598598492590988</v>
      </c>
      <c r="P56">
        <f t="shared" si="12"/>
        <v>6.5310967468117447</v>
      </c>
      <c r="Q56">
        <f t="shared" si="13"/>
        <v>7.1801548339120931</v>
      </c>
      <c r="R56">
        <f t="shared" si="14"/>
        <v>9.5848300050891329</v>
      </c>
      <c r="S56">
        <f t="shared" si="16"/>
        <v>14.740577717927753</v>
      </c>
      <c r="T56">
        <f t="shared" si="17"/>
        <v>16.093503538158004</v>
      </c>
    </row>
    <row r="57" spans="2:20">
      <c r="B57" s="8">
        <v>35</v>
      </c>
      <c r="C57" s="9">
        <f t="shared" si="20"/>
        <v>3.8711999999999991</v>
      </c>
      <c r="D57" s="10"/>
      <c r="E57">
        <f t="shared" si="18"/>
        <v>3.9235355206194722</v>
      </c>
      <c r="F57" s="10">
        <f t="shared" si="4"/>
        <v>5.2335520619473108E-2</v>
      </c>
      <c r="G57">
        <f t="shared" si="9"/>
        <v>2.7390067185112947E-3</v>
      </c>
      <c r="H57" s="12">
        <f t="shared" si="22"/>
        <v>0.45889999999999986</v>
      </c>
      <c r="K57">
        <f t="shared" ref="K57:K82" si="23">$G$1+C56*$G$2+H56*$G$3</f>
        <v>3.7436939576666126</v>
      </c>
      <c r="L57">
        <f t="shared" si="7"/>
        <v>3.996815412913338</v>
      </c>
      <c r="M57">
        <f t="shared" si="8"/>
        <v>3.8590308342616177</v>
      </c>
      <c r="N57">
        <f t="shared" si="10"/>
        <v>3.5967581786076659</v>
      </c>
      <c r="O57">
        <f t="shared" si="11"/>
        <v>3.9235355206194722</v>
      </c>
      <c r="P57">
        <f t="shared" si="12"/>
        <v>6.6291187491837622</v>
      </c>
      <c r="Q57">
        <f t="shared" si="13"/>
        <v>7.1835245696790198</v>
      </c>
      <c r="R57">
        <f t="shared" si="14"/>
        <v>9.3744555838208115</v>
      </c>
      <c r="S57">
        <f t="shared" si="16"/>
        <v>14.097399423980441</v>
      </c>
      <c r="T57">
        <f t="shared" si="17"/>
        <v>15.205821446552349</v>
      </c>
    </row>
    <row r="58" spans="2:20">
      <c r="B58" s="8">
        <v>36</v>
      </c>
      <c r="C58" s="9">
        <f t="shared" si="20"/>
        <v>4.3300999999999989</v>
      </c>
      <c r="D58" s="10"/>
      <c r="E58">
        <f t="shared" si="18"/>
        <v>4.3773484642922469</v>
      </c>
      <c r="F58" s="10">
        <f t="shared" si="4"/>
        <v>4.7248464292247938E-2</v>
      </c>
      <c r="G58">
        <f t="shared" si="9"/>
        <v>2.2324173779758286E-3</v>
      </c>
      <c r="H58" s="12">
        <f t="shared" si="22"/>
        <v>0.45889999999999986</v>
      </c>
      <c r="K58">
        <f t="shared" si="23"/>
        <v>4.164581497431513</v>
      </c>
      <c r="L58">
        <f t="shared" ref="L58:L82" si="24">$G$1+C57*$G$2+H57*$G$3+C56*$G$4+H56*$G$5</f>
        <v>4.4595913453717078</v>
      </c>
      <c r="M58">
        <f t="shared" si="8"/>
        <v>4.3037477942551083</v>
      </c>
      <c r="N58">
        <f t="shared" si="10"/>
        <v>4.0757585208656613</v>
      </c>
      <c r="O58">
        <f t="shared" si="11"/>
        <v>4.3773484642922469</v>
      </c>
      <c r="P58">
        <f t="shared" si="12"/>
        <v>6.7172780238681806</v>
      </c>
      <c r="Q58">
        <f t="shared" si="13"/>
        <v>7.1770315777583473</v>
      </c>
      <c r="R58">
        <f t="shared" si="14"/>
        <v>9.1542184348648927</v>
      </c>
      <c r="S58">
        <f t="shared" si="16"/>
        <v>13.444358402345532</v>
      </c>
      <c r="T58">
        <f t="shared" si="17"/>
        <v>14.457643551886324</v>
      </c>
    </row>
    <row r="59" spans="2:20">
      <c r="B59" s="8">
        <v>37</v>
      </c>
      <c r="C59" s="9">
        <f t="shared" si="20"/>
        <v>4.7889999999999988</v>
      </c>
      <c r="D59" s="10"/>
      <c r="E59">
        <f t="shared" si="18"/>
        <v>4.8391816860494421</v>
      </c>
      <c r="F59" s="10">
        <f t="shared" si="4"/>
        <v>5.0181686049443286E-2</v>
      </c>
      <c r="G59">
        <f t="shared" si="9"/>
        <v>2.5182016147648908E-3</v>
      </c>
      <c r="H59" s="12">
        <f t="shared" si="22"/>
        <v>0.45889999999999986</v>
      </c>
      <c r="K59">
        <f t="shared" si="23"/>
        <v>4.5854690371964129</v>
      </c>
      <c r="L59">
        <f t="shared" si="24"/>
        <v>4.9223672778300775</v>
      </c>
      <c r="M59">
        <f t="shared" ref="M59:M82" si="25">$G$1+C58*$G$2+H58*$G$3+C57*$G$4+H57*$G$5+C56*$G$6+H56*$G$7</f>
        <v>4.7417901690581097</v>
      </c>
      <c r="N59">
        <f t="shared" si="10"/>
        <v>4.562779141208078</v>
      </c>
      <c r="O59">
        <f t="shared" si="11"/>
        <v>4.8391816860494421</v>
      </c>
      <c r="P59">
        <f t="shared" si="12"/>
        <v>6.8134575766370205</v>
      </c>
      <c r="Q59">
        <f t="shared" si="13"/>
        <v>7.1785588639220963</v>
      </c>
      <c r="R59">
        <f t="shared" si="14"/>
        <v>8.9420015639933954</v>
      </c>
      <c r="S59">
        <f t="shared" si="16"/>
        <v>12.799337658795043</v>
      </c>
      <c r="T59">
        <f t="shared" si="17"/>
        <v>13.717485935304721</v>
      </c>
    </row>
    <row r="60" spans="2:20">
      <c r="B60" s="8">
        <v>38</v>
      </c>
      <c r="C60" s="9">
        <f t="shared" si="20"/>
        <v>5.2478999999999987</v>
      </c>
      <c r="D60" s="10"/>
      <c r="E60">
        <f t="shared" si="18"/>
        <v>4.9891515591654567</v>
      </c>
      <c r="F60" s="10">
        <f t="shared" si="4"/>
        <v>-0.25874844083454196</v>
      </c>
      <c r="G60">
        <f t="shared" si="9"/>
        <v>6.6950755634306455E-2</v>
      </c>
      <c r="H60" s="12">
        <f t="shared" si="22"/>
        <v>0.45889999999999986</v>
      </c>
      <c r="K60">
        <f t="shared" si="23"/>
        <v>5.0063565769613136</v>
      </c>
      <c r="L60">
        <f t="shared" si="24"/>
        <v>5.3851432102884482</v>
      </c>
      <c r="M60">
        <f t="shared" si="25"/>
        <v>5.1798325438611119</v>
      </c>
      <c r="N60">
        <f t="shared" ref="N60:N82" si="26">$G$1+C59*$G$2+H59*$G$3+C58*$G$4+H58*$G$5+C57*$G$6+H57*$G$7+C56*$G$8+H56*$G$9</f>
        <v>4.9665381337465755</v>
      </c>
      <c r="O60">
        <f t="shared" si="11"/>
        <v>4.9891515591654567</v>
      </c>
      <c r="P60">
        <f t="shared" si="12"/>
        <v>6.5977737807646788</v>
      </c>
      <c r="Q60">
        <f t="shared" si="13"/>
        <v>6.8682228014446629</v>
      </c>
      <c r="R60">
        <f t="shared" si="14"/>
        <v>8.4179213444807157</v>
      </c>
      <c r="S60">
        <f t="shared" si="16"/>
        <v>11.842453566603371</v>
      </c>
      <c r="T60">
        <f t="shared" si="17"/>
        <v>12.665464970081933</v>
      </c>
    </row>
    <row r="61" spans="2:20">
      <c r="B61" s="8">
        <v>39</v>
      </c>
      <c r="C61" s="9">
        <f t="shared" si="20"/>
        <v>5.7067999999999985</v>
      </c>
      <c r="D61" s="10"/>
      <c r="E61">
        <f t="shared" si="18"/>
        <v>5.418097950289174</v>
      </c>
      <c r="F61" s="10">
        <f t="shared" si="4"/>
        <v>-0.28870204971082458</v>
      </c>
      <c r="G61">
        <f t="shared" si="9"/>
        <v>8.3348873507231427E-2</v>
      </c>
      <c r="H61" s="12">
        <f t="shared" si="22"/>
        <v>0.45889999999999986</v>
      </c>
      <c r="K61">
        <f t="shared" si="23"/>
        <v>5.4272441167262135</v>
      </c>
      <c r="L61">
        <f t="shared" si="24"/>
        <v>5.847919142746818</v>
      </c>
      <c r="M61">
        <f t="shared" si="25"/>
        <v>5.6178749186641133</v>
      </c>
      <c r="N61">
        <f t="shared" si="26"/>
        <v>5.3702971262850721</v>
      </c>
      <c r="O61">
        <f t="shared" ref="O61:O82" si="27">$G$1+C60*$G$2+H60*$G$3+C59*$G$4+H59*$G$5+C58*$G$6+H58*$G$7+C57*$G$8+H57*$G$9+C56*$G$10+H56*$G$11</f>
        <v>5.418097950289174</v>
      </c>
      <c r="P61">
        <f t="shared" si="12"/>
        <v>8.150387960726702</v>
      </c>
      <c r="Q61">
        <f t="shared" si="13"/>
        <v>8.3261847148015953</v>
      </c>
      <c r="R61">
        <f t="shared" si="14"/>
        <v>9.6621391008024009</v>
      </c>
      <c r="S61">
        <f t="shared" si="16"/>
        <v>12.653867450246064</v>
      </c>
      <c r="T61">
        <f t="shared" si="17"/>
        <v>13.381741980693512</v>
      </c>
    </row>
    <row r="62" spans="2:20">
      <c r="B62" s="8">
        <v>40</v>
      </c>
      <c r="C62" s="9">
        <f t="shared" si="20"/>
        <v>6.1656999999999984</v>
      </c>
      <c r="D62" s="10"/>
      <c r="E62">
        <f t="shared" si="18"/>
        <v>5.847044341412893</v>
      </c>
      <c r="F62" s="10">
        <f t="shared" si="4"/>
        <v>-0.31865565858710543</v>
      </c>
      <c r="G62">
        <f t="shared" si="9"/>
        <v>0.1015414287495819</v>
      </c>
      <c r="H62" s="12">
        <f t="shared" si="22"/>
        <v>0.45889999999999986</v>
      </c>
      <c r="K62">
        <f t="shared" si="23"/>
        <v>5.8481316564911143</v>
      </c>
      <c r="L62">
        <f t="shared" si="24"/>
        <v>6.3106950752051887</v>
      </c>
      <c r="M62">
        <f t="shared" si="25"/>
        <v>6.0559172934671155</v>
      </c>
      <c r="N62">
        <f t="shared" si="26"/>
        <v>5.7740561188235695</v>
      </c>
      <c r="O62">
        <f t="shared" si="27"/>
        <v>5.847044341412893</v>
      </c>
      <c r="P62">
        <f t="shared" ref="P62:P82" si="28">$G$1+C61*$G$2+H61*$G$3+C60*$G$4+H60*$G$5+C59*$G$6+H59*$G$7+C58*$G$8+H58*$G$9+C57*$G$10+H57*$G$11+C56*$G$12+H56*$G$13</f>
        <v>8.9449880208387764</v>
      </c>
      <c r="Q62">
        <f t="shared" si="13"/>
        <v>9.8928698094482925</v>
      </c>
      <c r="R62">
        <f t="shared" si="14"/>
        <v>11.015080038413851</v>
      </c>
      <c r="S62">
        <f t="shared" si="16"/>
        <v>13.574004515178524</v>
      </c>
      <c r="T62">
        <f t="shared" si="17"/>
        <v>14.206742172594858</v>
      </c>
    </row>
    <row r="63" spans="2:20">
      <c r="B63" s="8">
        <v>41</v>
      </c>
      <c r="C63" s="9">
        <f>C62-0.4589</f>
        <v>5.7067999999999985</v>
      </c>
      <c r="D63" s="10"/>
      <c r="E63">
        <f t="shared" si="18"/>
        <v>6.2759907325366102</v>
      </c>
      <c r="F63" s="10">
        <f t="shared" si="4"/>
        <v>0.56919073253661168</v>
      </c>
      <c r="G63">
        <f t="shared" si="9"/>
        <v>0.3239780900055646</v>
      </c>
      <c r="H63" s="12">
        <f t="shared" si="22"/>
        <v>-0.45889999999999986</v>
      </c>
      <c r="K63">
        <f t="shared" si="23"/>
        <v>6.2690191962560142</v>
      </c>
      <c r="L63">
        <f t="shared" si="24"/>
        <v>6.7734710076635585</v>
      </c>
      <c r="M63">
        <f t="shared" si="25"/>
        <v>6.4939596682701168</v>
      </c>
      <c r="N63">
        <f t="shared" si="26"/>
        <v>6.1778151113620652</v>
      </c>
      <c r="O63">
        <f t="shared" si="27"/>
        <v>6.2759907325366102</v>
      </c>
      <c r="P63">
        <f t="shared" si="28"/>
        <v>9.7395880809508508</v>
      </c>
      <c r="Q63">
        <f t="shared" ref="Q63:Q82" si="29">$G$1+C62*$G$2+H62*$G$3+C61*$G$4+H61*$G$5+C60*$G$6+H60*$G$7+C59*$G$8+H59*$G$9+C58*$G$10+H58*$G$11+C57*$G$12+H57*$G$13+C56*$G$14+H56*$G$15</f>
        <v>10.782122136165457</v>
      </c>
      <c r="R63">
        <f t="shared" si="14"/>
        <v>12.197407642899005</v>
      </c>
      <c r="S63">
        <f t="shared" si="16"/>
        <v>14.323528246984687</v>
      </c>
      <c r="T63">
        <f t="shared" si="17"/>
        <v>14.861129031369904</v>
      </c>
    </row>
    <row r="64" spans="2:20">
      <c r="B64" s="8">
        <v>42</v>
      </c>
      <c r="C64" s="9">
        <f t="shared" ref="C64:C67" si="30">C63-0.4589</f>
        <v>5.2478999999999987</v>
      </c>
      <c r="D64" s="10"/>
      <c r="E64">
        <f t="shared" si="18"/>
        <v>5.2526176702547067</v>
      </c>
      <c r="F64" s="10">
        <f t="shared" si="4"/>
        <v>4.7176702547080396E-3</v>
      </c>
      <c r="G64">
        <f t="shared" si="9"/>
        <v>2.2256412632157018E-5</v>
      </c>
      <c r="H64" s="12">
        <f t="shared" si="22"/>
        <v>-0.45889999999999986</v>
      </c>
      <c r="K64">
        <f t="shared" si="23"/>
        <v>5.2375872826152943</v>
      </c>
      <c r="L64">
        <f t="shared" si="24"/>
        <v>5.7839274867163075</v>
      </c>
      <c r="M64">
        <f t="shared" si="25"/>
        <v>5.4796825896674974</v>
      </c>
      <c r="N64">
        <f t="shared" si="26"/>
        <v>5.129254650494941</v>
      </c>
      <c r="O64">
        <f t="shared" si="27"/>
        <v>5.2526176702547067</v>
      </c>
      <c r="P64">
        <f t="shared" si="28"/>
        <v>9.0818686876573036</v>
      </c>
      <c r="Q64">
        <f t="shared" si="29"/>
        <v>10.219055009477001</v>
      </c>
      <c r="R64">
        <f t="shared" ref="R64:R82" si="31">$G$1+C63*$G$2+H63*$G$3+C62*$G$4+H62*$G$5+C61*$G$6+H61*$G$7+C60*$G$8+H60*$G$9+C59*$G$10+H59*$G$11+C58*$G$12+H58*$G$13+C57*$G$14+H57*$G$15+C56*$G$16+H56*$G$17</f>
        <v>11.848084673245797</v>
      </c>
      <c r="S64">
        <f t="shared" si="16"/>
        <v>14.860059989770004</v>
      </c>
      <c r="T64">
        <f t="shared" si="17"/>
        <v>15.302523901124108</v>
      </c>
    </row>
    <row r="65" spans="2:20">
      <c r="B65" s="8">
        <v>43</v>
      </c>
      <c r="C65" s="9">
        <f t="shared" si="30"/>
        <v>4.7889999999999988</v>
      </c>
      <c r="D65" s="10"/>
      <c r="E65">
        <f t="shared" si="18"/>
        <v>4.7889419988943338</v>
      </c>
      <c r="F65" s="10">
        <f t="shared" si="4"/>
        <v>-5.8001105665006492E-5</v>
      </c>
      <c r="G65">
        <f t="shared" si="9"/>
        <v>3.3641282583632479E-9</v>
      </c>
      <c r="H65" s="12">
        <f t="shared" si="22"/>
        <v>-0.45889999999999986</v>
      </c>
      <c r="K65">
        <f t="shared" si="23"/>
        <v>4.8166997428503935</v>
      </c>
      <c r="L65">
        <f t="shared" si="24"/>
        <v>5.3540813566905863</v>
      </c>
      <c r="M65">
        <f t="shared" si="25"/>
        <v>5.0251029019864077</v>
      </c>
      <c r="N65">
        <f t="shared" si="26"/>
        <v>4.6403915805493465</v>
      </c>
      <c r="O65">
        <f t="shared" si="27"/>
        <v>4.7889419988943338</v>
      </c>
      <c r="P65">
        <f t="shared" si="28"/>
        <v>8.9838466852852861</v>
      </c>
      <c r="Q65">
        <f t="shared" si="29"/>
        <v>10.215685273710074</v>
      </c>
      <c r="R65">
        <f t="shared" si="31"/>
        <v>12.058459094514115</v>
      </c>
      <c r="S65">
        <f t="shared" ref="S65:S82" si="32">$G$1+C64*$G$2+H64*$G$3+C63*$G$4+H63*$G$5+C62*$G$6+H62*$G$7+C61*$G$8+H61*$G$9+C60*$G$10+H60*$G$11+C59*$G$12+H59*$G$13+C58*$G$14+H58*$G$15+C57*$G$16+H57*$G$17+C56*$G$18+H56*$G$19</f>
        <v>15.503238283717312</v>
      </c>
      <c r="T65">
        <f t="shared" ref="T65:T82" si="33">$G$1+C64*$G$2+H64*$G$3+C63*$G$4+H63*$G$5+C62*$G$6+H62*$G$7+C61*$G$8+H61*$G$9+C60*$G$10+H60*$G$11+C59*$G$12+H59*$G$13+C58*$G$14+H58*$G$15+C57*$G$16+H57*$G$17+C56*$G$18+H56*$G$19+C55*$G$20+H55*$G$21</f>
        <v>16.190205992729762</v>
      </c>
    </row>
    <row r="66" spans="2:20">
      <c r="B66" s="8">
        <v>44</v>
      </c>
      <c r="C66" s="9">
        <f t="shared" si="30"/>
        <v>4.3300999999999989</v>
      </c>
      <c r="D66" s="10"/>
      <c r="E66">
        <f t="shared" si="18"/>
        <v>4.33512905522156</v>
      </c>
      <c r="F66" s="10">
        <f t="shared" si="4"/>
        <v>5.0290552215610518E-3</v>
      </c>
      <c r="G66">
        <f t="shared" si="9"/>
        <v>2.5291396421510478E-5</v>
      </c>
      <c r="H66" s="12">
        <f t="shared" si="22"/>
        <v>-0.45889999999999986</v>
      </c>
      <c r="K66">
        <f t="shared" si="23"/>
        <v>4.3958122030854936</v>
      </c>
      <c r="L66">
        <f t="shared" si="24"/>
        <v>4.8913054242322174</v>
      </c>
      <c r="M66">
        <f t="shared" si="25"/>
        <v>4.5803859419929172</v>
      </c>
      <c r="N66">
        <f t="shared" si="26"/>
        <v>4.1613912382913512</v>
      </c>
      <c r="O66">
        <f t="shared" si="27"/>
        <v>4.33512905522156</v>
      </c>
      <c r="P66">
        <f t="shared" si="28"/>
        <v>8.8956874106008677</v>
      </c>
      <c r="Q66">
        <f t="shared" si="29"/>
        <v>10.222178265630747</v>
      </c>
      <c r="R66">
        <f t="shared" si="31"/>
        <v>12.278696243470035</v>
      </c>
      <c r="S66">
        <f t="shared" si="32"/>
        <v>16.156279305352225</v>
      </c>
      <c r="T66">
        <f t="shared" si="33"/>
        <v>16.938383887395787</v>
      </c>
    </row>
    <row r="67" spans="2:20">
      <c r="B67" s="8">
        <v>45</v>
      </c>
      <c r="C67" s="9">
        <f t="shared" si="30"/>
        <v>3.8711999999999991</v>
      </c>
      <c r="D67" s="10"/>
      <c r="E67">
        <f t="shared" si="18"/>
        <v>3.8732958334643635</v>
      </c>
      <c r="F67" s="10">
        <f t="shared" si="4"/>
        <v>2.0958334643643717E-3</v>
      </c>
      <c r="G67">
        <f t="shared" si="9"/>
        <v>4.3925179103495644E-6</v>
      </c>
      <c r="H67" s="12">
        <f t="shared" si="22"/>
        <v>-0.45889999999999986</v>
      </c>
      <c r="K67">
        <f t="shared" si="23"/>
        <v>3.9749246633205928</v>
      </c>
      <c r="L67">
        <f t="shared" si="24"/>
        <v>4.4285294917738467</v>
      </c>
      <c r="M67">
        <f t="shared" si="25"/>
        <v>4.1423435671899149</v>
      </c>
      <c r="N67">
        <f t="shared" si="26"/>
        <v>3.674370617948933</v>
      </c>
      <c r="O67">
        <f t="shared" si="27"/>
        <v>3.8732958334643635</v>
      </c>
      <c r="P67">
        <f t="shared" si="28"/>
        <v>8.7995078578320278</v>
      </c>
      <c r="Q67">
        <f t="shared" si="29"/>
        <v>10.220650979466999</v>
      </c>
      <c r="R67">
        <f t="shared" si="31"/>
        <v>12.490913114341534</v>
      </c>
      <c r="S67">
        <f t="shared" si="32"/>
        <v>16.801300048902714</v>
      </c>
      <c r="T67">
        <f t="shared" si="33"/>
        <v>17.678541503977392</v>
      </c>
    </row>
    <row r="68" spans="2:20">
      <c r="B68" s="8">
        <v>46</v>
      </c>
      <c r="C68" s="9">
        <f t="shared" si="20"/>
        <v>4.3300999999999989</v>
      </c>
      <c r="D68" s="10"/>
      <c r="E68">
        <f t="shared" si="18"/>
        <v>3.7233259603483493</v>
      </c>
      <c r="F68" s="10">
        <f t="shared" si="4"/>
        <v>-0.60677403965164967</v>
      </c>
      <c r="G68">
        <f t="shared" si="9"/>
        <v>0.36817473519518173</v>
      </c>
      <c r="H68" s="12">
        <f t="shared" si="22"/>
        <v>0.45889999999999986</v>
      </c>
      <c r="K68">
        <f t="shared" si="23"/>
        <v>3.5540371235556929</v>
      </c>
      <c r="L68">
        <f t="shared" si="24"/>
        <v>3.9657535593154769</v>
      </c>
      <c r="M68">
        <f t="shared" si="25"/>
        <v>3.704301192386914</v>
      </c>
      <c r="N68">
        <f t="shared" si="26"/>
        <v>3.2706116254104369</v>
      </c>
      <c r="O68">
        <f t="shared" si="27"/>
        <v>3.7233259603483493</v>
      </c>
      <c r="P68">
        <f t="shared" si="28"/>
        <v>9.0151916537043686</v>
      </c>
      <c r="Q68">
        <f t="shared" si="29"/>
        <v>10.53098704194443</v>
      </c>
      <c r="R68">
        <f t="shared" si="31"/>
        <v>13.014993333854212</v>
      </c>
      <c r="S68">
        <f t="shared" si="32"/>
        <v>17.758184141094386</v>
      </c>
      <c r="T68">
        <f t="shared" si="33"/>
        <v>18.73056246920018</v>
      </c>
    </row>
    <row r="69" spans="2:20">
      <c r="B69" s="8">
        <v>47</v>
      </c>
      <c r="C69" s="9">
        <f t="shared" si="20"/>
        <v>4.7889999999999988</v>
      </c>
      <c r="D69" s="10"/>
      <c r="E69">
        <f t="shared" si="18"/>
        <v>4.746699022630251</v>
      </c>
      <c r="F69" s="10">
        <f t="shared" si="4"/>
        <v>-4.2300977369747805E-2</v>
      </c>
      <c r="G69">
        <f t="shared" si="9"/>
        <v>1.7893726864359159E-3</v>
      </c>
      <c r="H69" s="12">
        <f t="shared" si="22"/>
        <v>0.45889999999999986</v>
      </c>
      <c r="K69">
        <f t="shared" si="23"/>
        <v>4.5854690371964129</v>
      </c>
      <c r="L69">
        <f t="shared" si="24"/>
        <v>4.955297080262727</v>
      </c>
      <c r="M69">
        <f t="shared" si="25"/>
        <v>4.7185782709895321</v>
      </c>
      <c r="N69">
        <f t="shared" si="26"/>
        <v>4.3191720862775593</v>
      </c>
      <c r="O69">
        <f t="shared" si="27"/>
        <v>4.746699022630251</v>
      </c>
      <c r="P69">
        <f t="shared" si="28"/>
        <v>8.9148969271479661</v>
      </c>
      <c r="Q69">
        <f t="shared" si="29"/>
        <v>10.525344581993119</v>
      </c>
      <c r="R69">
        <f t="shared" si="31"/>
        <v>13.223095030938147</v>
      </c>
      <c r="S69">
        <f t="shared" si="32"/>
        <v>18.399089710857311</v>
      </c>
      <c r="T69">
        <f t="shared" si="33"/>
        <v>19.466604911994217</v>
      </c>
    </row>
    <row r="70" spans="2:20">
      <c r="B70" s="8">
        <v>48</v>
      </c>
      <c r="C70" s="9">
        <f t="shared" si="20"/>
        <v>5.2478999999999987</v>
      </c>
      <c r="D70" s="10"/>
      <c r="E70">
        <f t="shared" si="18"/>
        <v>5.2103746939906248</v>
      </c>
      <c r="F70" s="10">
        <f t="shared" si="4"/>
        <v>-3.7525306009373871E-2</v>
      </c>
      <c r="G70">
        <f t="shared" si="9"/>
        <v>1.4081485910971507E-3</v>
      </c>
      <c r="H70" s="12">
        <f t="shared" si="22"/>
        <v>0.45889999999999986</v>
      </c>
      <c r="K70">
        <f t="shared" si="23"/>
        <v>5.0063565769613136</v>
      </c>
      <c r="L70">
        <f t="shared" si="24"/>
        <v>5.3851432102884482</v>
      </c>
      <c r="M70">
        <f t="shared" si="25"/>
        <v>5.1731579586706218</v>
      </c>
      <c r="N70">
        <f t="shared" si="26"/>
        <v>4.8080351562231547</v>
      </c>
      <c r="O70">
        <f t="shared" si="27"/>
        <v>5.2103746939906248</v>
      </c>
      <c r="P70">
        <f t="shared" si="28"/>
        <v>9.0129189295199819</v>
      </c>
      <c r="Q70">
        <f t="shared" si="29"/>
        <v>9.851281549830512</v>
      </c>
      <c r="R70">
        <f t="shared" si="31"/>
        <v>12.762776155810787</v>
      </c>
      <c r="S70">
        <f t="shared" si="32"/>
        <v>18.371574708408943</v>
      </c>
      <c r="T70">
        <f t="shared" si="33"/>
        <v>19.534226782576965</v>
      </c>
    </row>
    <row r="71" spans="2:20">
      <c r="B71" s="8">
        <v>49</v>
      </c>
      <c r="C71" s="9">
        <f t="shared" si="20"/>
        <v>5.7067999999999985</v>
      </c>
      <c r="D71" s="10"/>
      <c r="E71">
        <f t="shared" si="18"/>
        <v>5.6641876376634004</v>
      </c>
      <c r="F71" s="10">
        <f t="shared" si="4"/>
        <v>-4.2612362336598153E-2</v>
      </c>
      <c r="G71">
        <f t="shared" si="9"/>
        <v>1.8158134239055288E-3</v>
      </c>
      <c r="H71" s="12">
        <f t="shared" si="22"/>
        <v>0.45889999999999986</v>
      </c>
      <c r="K71">
        <f t="shared" si="23"/>
        <v>5.4272441167262135</v>
      </c>
      <c r="L71">
        <f t="shared" si="24"/>
        <v>5.847919142746818</v>
      </c>
      <c r="M71">
        <f t="shared" si="25"/>
        <v>5.6178749186641133</v>
      </c>
      <c r="N71">
        <f t="shared" si="26"/>
        <v>5.287035498481151</v>
      </c>
      <c r="O71">
        <f t="shared" si="27"/>
        <v>5.6641876376634004</v>
      </c>
      <c r="P71">
        <f t="shared" si="28"/>
        <v>9.1010782042044021</v>
      </c>
      <c r="Q71">
        <f t="shared" si="29"/>
        <v>9.8447885579098422</v>
      </c>
      <c r="R71">
        <f t="shared" si="31"/>
        <v>12.463207886122127</v>
      </c>
      <c r="S71">
        <f t="shared" si="32"/>
        <v>18.504810311399275</v>
      </c>
      <c r="T71">
        <f t="shared" si="33"/>
        <v>19.762599258598414</v>
      </c>
    </row>
    <row r="72" spans="2:20">
      <c r="B72" s="8">
        <v>50</v>
      </c>
      <c r="C72" s="9">
        <f t="shared" si="20"/>
        <v>6.1656999999999984</v>
      </c>
      <c r="D72" s="10"/>
      <c r="E72">
        <f t="shared" si="18"/>
        <v>6.1260208594205974</v>
      </c>
      <c r="F72" s="10">
        <f t="shared" si="4"/>
        <v>-3.9679140579401029E-2</v>
      </c>
      <c r="G72">
        <f t="shared" si="9"/>
        <v>1.5744341971198695E-3</v>
      </c>
      <c r="H72" s="12">
        <f t="shared" si="22"/>
        <v>0.45889999999999986</v>
      </c>
      <c r="K72">
        <f t="shared" si="23"/>
        <v>5.8481316564911143</v>
      </c>
      <c r="L72">
        <f t="shared" si="24"/>
        <v>6.3106950752051887</v>
      </c>
      <c r="M72">
        <f t="shared" si="25"/>
        <v>6.0559172934671155</v>
      </c>
      <c r="N72">
        <f t="shared" si="26"/>
        <v>5.7740561188235695</v>
      </c>
      <c r="O72">
        <f t="shared" si="27"/>
        <v>6.1260208594205974</v>
      </c>
      <c r="P72">
        <f t="shared" si="28"/>
        <v>9.1972577569732437</v>
      </c>
      <c r="Q72">
        <f t="shared" si="29"/>
        <v>9.8463158440735921</v>
      </c>
      <c r="R72">
        <f t="shared" si="31"/>
        <v>12.250991015250632</v>
      </c>
      <c r="S72">
        <f t="shared" si="32"/>
        <v>17.406738728089252</v>
      </c>
      <c r="T72">
        <f t="shared" si="33"/>
        <v>18.759664548319503</v>
      </c>
    </row>
    <row r="73" spans="2:20">
      <c r="B73" s="13" t="s">
        <v>27</v>
      </c>
      <c r="C73">
        <f t="shared" ref="C73:C82" si="34">E73</f>
        <v>6.2759907325366102</v>
      </c>
      <c r="E73">
        <f t="shared" si="18"/>
        <v>6.2759907325366102</v>
      </c>
      <c r="F73" s="10"/>
      <c r="G73" s="4">
        <f>SUM(G24:G72)/COUNT(G24:G72)</f>
        <v>6.5940589485650875E-2</v>
      </c>
      <c r="H73" s="12">
        <f t="shared" si="22"/>
        <v>0.11029073253661181</v>
      </c>
      <c r="K73">
        <f t="shared" si="23"/>
        <v>6.2690191962560142</v>
      </c>
      <c r="L73">
        <f t="shared" si="24"/>
        <v>6.7734710076635585</v>
      </c>
      <c r="M73">
        <f t="shared" si="25"/>
        <v>6.4939596682701168</v>
      </c>
      <c r="N73">
        <f t="shared" si="26"/>
        <v>6.1778151113620652</v>
      </c>
      <c r="O73">
        <f t="shared" si="27"/>
        <v>6.2759907325366102</v>
      </c>
      <c r="P73">
        <f t="shared" si="28"/>
        <v>8.9815739611009011</v>
      </c>
      <c r="Q73">
        <f t="shared" si="29"/>
        <v>9.5359797815961578</v>
      </c>
      <c r="R73">
        <f t="shared" si="31"/>
        <v>11.72691079573795</v>
      </c>
      <c r="S73">
        <f t="shared" si="32"/>
        <v>16.44985463589758</v>
      </c>
      <c r="T73">
        <f t="shared" si="33"/>
        <v>17.558276658469488</v>
      </c>
    </row>
    <row r="74" spans="2:20">
      <c r="B74" s="13" t="s">
        <v>28</v>
      </c>
      <c r="C74">
        <f t="shared" si="34"/>
        <v>6.1533005789070456</v>
      </c>
      <c r="E74">
        <f t="shared" si="18"/>
        <v>6.1533005789070456</v>
      </c>
      <c r="F74" s="10"/>
      <c r="H74" s="12">
        <f t="shared" si="22"/>
        <v>-0.12269015362956459</v>
      </c>
      <c r="K74">
        <f t="shared" si="23"/>
        <v>6.1382701912676332</v>
      </c>
      <c r="L74">
        <f t="shared" si="24"/>
        <v>6.6846103953686464</v>
      </c>
      <c r="M74">
        <f t="shared" si="25"/>
        <v>6.3803654983198363</v>
      </c>
      <c r="N74">
        <f t="shared" si="26"/>
        <v>6.0299375591472799</v>
      </c>
      <c r="O74">
        <f t="shared" si="27"/>
        <v>6.1533005789070456</v>
      </c>
      <c r="P74">
        <f t="shared" si="28"/>
        <v>9.9825515963096425</v>
      </c>
      <c r="Q74">
        <f t="shared" si="29"/>
        <v>10.442305150199809</v>
      </c>
      <c r="R74">
        <f t="shared" si="31"/>
        <v>12.419492007306355</v>
      </c>
      <c r="S74">
        <f t="shared" si="32"/>
        <v>16.709631974786994</v>
      </c>
      <c r="T74">
        <f t="shared" si="33"/>
        <v>17.722917124327786</v>
      </c>
    </row>
    <row r="75" spans="2:20">
      <c r="B75" s="13" t="s">
        <v>29</v>
      </c>
      <c r="C75">
        <f t="shared" si="34"/>
        <v>5.8745339643922208</v>
      </c>
      <c r="E75">
        <f t="shared" si="18"/>
        <v>5.8745339643922208</v>
      </c>
      <c r="F75" s="10"/>
      <c r="H75" s="12">
        <f t="shared" si="22"/>
        <v>-0.27876661451482487</v>
      </c>
      <c r="K75">
        <f t="shared" si="23"/>
        <v>5.8707580065886056</v>
      </c>
      <c r="L75">
        <f t="shared" si="24"/>
        <v>6.4396733221884732</v>
      </c>
      <c r="M75">
        <f t="shared" si="25"/>
        <v>6.1106948674842947</v>
      </c>
      <c r="N75">
        <f t="shared" si="26"/>
        <v>5.7259835460472335</v>
      </c>
      <c r="O75">
        <f t="shared" si="27"/>
        <v>5.8745339643922208</v>
      </c>
      <c r="P75">
        <f t="shared" si="28"/>
        <v>10.069438650783173</v>
      </c>
      <c r="Q75">
        <f t="shared" si="29"/>
        <v>11.301277239207961</v>
      </c>
      <c r="R75">
        <f t="shared" si="31"/>
        <v>13.064719939279259</v>
      </c>
      <c r="S75">
        <f t="shared" si="32"/>
        <v>16.922056034080907</v>
      </c>
      <c r="T75">
        <f t="shared" si="33"/>
        <v>17.840204310590583</v>
      </c>
    </row>
    <row r="76" spans="2:20">
      <c r="B76" s="13" t="s">
        <v>30</v>
      </c>
      <c r="C76">
        <f t="shared" si="34"/>
        <v>5.4946169380597789</v>
      </c>
      <c r="E76">
        <f t="shared" si="18"/>
        <v>5.4946169380597789</v>
      </c>
      <c r="F76" s="10"/>
      <c r="H76" s="12">
        <f t="shared" si="22"/>
        <v>-0.37991702633244184</v>
      </c>
      <c r="K76">
        <f t="shared" si="23"/>
        <v>5.5112565964868239</v>
      </c>
      <c r="L76">
        <f t="shared" si="24"/>
        <v>6.0773318901672324</v>
      </c>
      <c r="M76">
        <f t="shared" si="25"/>
        <v>5.739873824831137</v>
      </c>
      <c r="N76">
        <f t="shared" si="26"/>
        <v>5.320879121129571</v>
      </c>
      <c r="O76">
        <f t="shared" si="27"/>
        <v>5.4946169380597789</v>
      </c>
      <c r="P76">
        <f t="shared" si="28"/>
        <v>10.055175293439087</v>
      </c>
      <c r="Q76">
        <f t="shared" si="29"/>
        <v>11.381666148468966</v>
      </c>
      <c r="R76">
        <f t="shared" si="31"/>
        <v>13.438184126308254</v>
      </c>
      <c r="S76">
        <f t="shared" si="32"/>
        <v>16.862716348430911</v>
      </c>
      <c r="T76">
        <f t="shared" si="33"/>
        <v>17.685727751909475</v>
      </c>
    </row>
    <row r="77" spans="2:20">
      <c r="B77" s="13" t="s">
        <v>31</v>
      </c>
      <c r="C77">
        <f t="shared" si="34"/>
        <v>5.049276901167131</v>
      </c>
      <c r="E77">
        <f t="shared" si="18"/>
        <v>5.049276901167131</v>
      </c>
      <c r="F77" s="10"/>
      <c r="H77" s="12">
        <f t="shared" si="22"/>
        <v>-0.44534003689264789</v>
      </c>
      <c r="K77">
        <f t="shared" si="23"/>
        <v>5.0955216870226865</v>
      </c>
      <c r="L77">
        <f t="shared" si="24"/>
        <v>5.6417510406116671</v>
      </c>
      <c r="M77">
        <f t="shared" si="25"/>
        <v>5.3092113422450788</v>
      </c>
      <c r="N77">
        <f t="shared" si="26"/>
        <v>4.8503516856517015</v>
      </c>
      <c r="O77">
        <f t="shared" si="27"/>
        <v>5.049276901167131</v>
      </c>
      <c r="P77">
        <f t="shared" si="28"/>
        <v>9.9754889255347958</v>
      </c>
      <c r="Q77">
        <f t="shared" si="29"/>
        <v>11.396632047169767</v>
      </c>
      <c r="R77">
        <f t="shared" si="31"/>
        <v>13.666894182044302</v>
      </c>
      <c r="S77">
        <f t="shared" si="32"/>
        <v>17.977281116605482</v>
      </c>
      <c r="T77">
        <f t="shared" si="33"/>
        <v>18.70515564705293</v>
      </c>
    </row>
    <row r="78" spans="2:20">
      <c r="B78" s="13" t="s">
        <v>32</v>
      </c>
      <c r="C78">
        <f t="shared" si="34"/>
        <v>4.6801928375837436</v>
      </c>
      <c r="E78">
        <f t="shared" si="18"/>
        <v>4.6801928375837436</v>
      </c>
      <c r="F78" s="10"/>
      <c r="H78" s="12">
        <f t="shared" si="22"/>
        <v>-0.36908406358338741</v>
      </c>
      <c r="K78">
        <f t="shared" si="23"/>
        <v>4.6435498020884243</v>
      </c>
      <c r="L78">
        <f t="shared" si="24"/>
        <v>5.1587295107626501</v>
      </c>
      <c r="M78">
        <f t="shared" si="25"/>
        <v>4.8400795864542232</v>
      </c>
      <c r="N78">
        <f t="shared" si="26"/>
        <v>4.3692501096871155</v>
      </c>
      <c r="O78">
        <f t="shared" si="27"/>
        <v>4.6801928375837436</v>
      </c>
      <c r="P78">
        <f t="shared" si="28"/>
        <v>9.9720585309397638</v>
      </c>
      <c r="Q78">
        <f t="shared" si="29"/>
        <v>11.487853919179825</v>
      </c>
      <c r="R78">
        <f t="shared" si="31"/>
        <v>13.971860211089608</v>
      </c>
      <c r="S78">
        <f t="shared" si="32"/>
        <v>18.715051018329781</v>
      </c>
      <c r="T78">
        <f t="shared" si="33"/>
        <v>19.687429346435575</v>
      </c>
    </row>
    <row r="79" spans="2:20">
      <c r="B79" s="13" t="s">
        <v>33</v>
      </c>
      <c r="C79">
        <f t="shared" si="34"/>
        <v>4.4445968584280431</v>
      </c>
      <c r="E79">
        <f t="shared" si="18"/>
        <v>4.4445968584280431</v>
      </c>
      <c r="F79" s="10"/>
      <c r="H79" s="12">
        <f t="shared" si="22"/>
        <v>-0.23559597915570052</v>
      </c>
      <c r="K79">
        <f t="shared" si="23"/>
        <v>4.3557658497047953</v>
      </c>
      <c r="L79">
        <f t="shared" si="24"/>
        <v>4.83264223534277</v>
      </c>
      <c r="M79">
        <f t="shared" si="25"/>
        <v>4.533733281081596</v>
      </c>
      <c r="N79">
        <f t="shared" si="26"/>
        <v>4.0695707738294224</v>
      </c>
      <c r="O79">
        <f t="shared" si="27"/>
        <v>4.4445968584280431</v>
      </c>
      <c r="P79">
        <f t="shared" si="28"/>
        <v>9.5364251525326527</v>
      </c>
      <c r="Q79">
        <f t="shared" si="29"/>
        <v>11.146872807377806</v>
      </c>
      <c r="R79">
        <f t="shared" si="31"/>
        <v>13.844623256322834</v>
      </c>
      <c r="S79">
        <f t="shared" si="32"/>
        <v>19.020617936241997</v>
      </c>
      <c r="T79">
        <f t="shared" si="33"/>
        <v>20.088133137378904</v>
      </c>
    </row>
    <row r="80" spans="2:20">
      <c r="B80" s="13" t="s">
        <v>34</v>
      </c>
      <c r="C80">
        <f t="shared" si="34"/>
        <v>4.3557642250623729</v>
      </c>
      <c r="E80">
        <f t="shared" si="18"/>
        <v>4.3557642250623729</v>
      </c>
      <c r="H80" s="12">
        <f t="shared" si="22"/>
        <v>-8.8832633365670155E-2</v>
      </c>
      <c r="K80">
        <f t="shared" si="23"/>
        <v>4.2284849332045713</v>
      </c>
      <c r="L80">
        <f t="shared" si="24"/>
        <v>4.6689353322224241</v>
      </c>
      <c r="M80">
        <f t="shared" si="25"/>
        <v>4.3935533070308228</v>
      </c>
      <c r="N80">
        <f t="shared" si="26"/>
        <v>3.9485973081073986</v>
      </c>
      <c r="O80">
        <f t="shared" si="27"/>
        <v>4.3557642250623729</v>
      </c>
      <c r="P80">
        <f t="shared" si="28"/>
        <v>9.1574127294351158</v>
      </c>
      <c r="Q80">
        <f t="shared" si="29"/>
        <v>10.533298600293174</v>
      </c>
      <c r="R80">
        <f t="shared" si="31"/>
        <v>13.444793206273449</v>
      </c>
      <c r="S80">
        <f t="shared" si="32"/>
        <v>19.053591758871605</v>
      </c>
      <c r="T80">
        <f t="shared" si="33"/>
        <v>20.216243833039627</v>
      </c>
    </row>
    <row r="81" spans="1:20">
      <c r="B81" s="13" t="s">
        <v>35</v>
      </c>
      <c r="C81">
        <f t="shared" si="34"/>
        <v>4.4033022230679073</v>
      </c>
      <c r="E81">
        <f t="shared" si="18"/>
        <v>4.4033022230679073</v>
      </c>
      <c r="H81" s="12">
        <f t="shared" si="22"/>
        <v>4.7537998005534376E-2</v>
      </c>
      <c r="K81">
        <f t="shared" si="23"/>
        <v>4.2446414357618449</v>
      </c>
      <c r="L81">
        <f t="shared" si="24"/>
        <v>4.6587972062864855</v>
      </c>
      <c r="M81">
        <f t="shared" si="25"/>
        <v>4.4038624472996917</v>
      </c>
      <c r="N81">
        <f t="shared" si="26"/>
        <v>3.9862417056108317</v>
      </c>
      <c r="O81">
        <f t="shared" si="27"/>
        <v>4.4033022230679073</v>
      </c>
      <c r="P81">
        <f t="shared" si="28"/>
        <v>8.8539241073656321</v>
      </c>
      <c r="Q81">
        <f t="shared" si="29"/>
        <v>10.03253967003829</v>
      </c>
      <c r="R81">
        <f t="shared" si="31"/>
        <v>12.965272492867534</v>
      </c>
      <c r="S81">
        <f t="shared" si="32"/>
        <v>19.006874918144682</v>
      </c>
      <c r="T81">
        <f t="shared" si="33"/>
        <v>20.26466386534382</v>
      </c>
    </row>
    <row r="82" spans="1:20">
      <c r="B82" s="13" t="s">
        <v>36</v>
      </c>
      <c r="C82">
        <f t="shared" si="34"/>
        <v>4.5678484429571551</v>
      </c>
      <c r="E82">
        <f t="shared" si="18"/>
        <v>4.5678484429571551</v>
      </c>
      <c r="H82" s="12">
        <f t="shared" si="22"/>
        <v>0.16454621988924778</v>
      </c>
      <c r="K82">
        <f t="shared" si="23"/>
        <v>4.3789589600562211</v>
      </c>
      <c r="L82">
        <f t="shared" si="24"/>
        <v>4.7797403565973662</v>
      </c>
      <c r="M82">
        <f t="shared" si="25"/>
        <v>4.5384744046045453</v>
      </c>
      <c r="N82">
        <f t="shared" si="26"/>
        <v>4.1553449426570594</v>
      </c>
      <c r="O82">
        <f t="shared" si="27"/>
        <v>4.5678484429571551</v>
      </c>
      <c r="P82">
        <f t="shared" si="28"/>
        <v>8.6322101948016243</v>
      </c>
      <c r="Q82">
        <f t="shared" si="29"/>
        <v>9.6381268113624294</v>
      </c>
      <c r="R82">
        <f t="shared" si="31"/>
        <v>12.493575648860421</v>
      </c>
      <c r="S82">
        <f t="shared" si="32"/>
        <v>18.467113998034552</v>
      </c>
      <c r="T82">
        <f t="shared" si="33"/>
        <v>19.820039818264803</v>
      </c>
    </row>
    <row r="83" spans="1:20">
      <c r="A83"/>
      <c r="H83" s="12"/>
    </row>
    <row r="84" spans="1:20">
      <c r="A84"/>
      <c r="H84" s="12"/>
    </row>
    <row r="85" spans="1:20">
      <c r="A85"/>
      <c r="H85" s="12"/>
    </row>
    <row r="86" spans="1:20">
      <c r="A86"/>
      <c r="H86" s="12"/>
    </row>
    <row r="87" spans="1:20">
      <c r="A87"/>
      <c r="H87" s="12"/>
    </row>
    <row r="88" spans="1:20">
      <c r="A88"/>
      <c r="H88" s="12"/>
    </row>
    <row r="89" spans="1:20">
      <c r="A89"/>
      <c r="H89" s="12"/>
    </row>
    <row r="92" spans="1:20">
      <c r="A92"/>
    </row>
    <row r="93" spans="1:20">
      <c r="A93"/>
    </row>
    <row r="94" spans="1:20">
      <c r="A94"/>
    </row>
    <row r="96" spans="1:20">
      <c r="A96"/>
    </row>
    <row r="97" spans="1:1">
      <c r="A97"/>
    </row>
    <row r="98" spans="1:1">
      <c r="A98"/>
    </row>
    <row r="99" spans="1:1">
      <c r="A99"/>
    </row>
    <row r="101" spans="1:1">
      <c r="A101"/>
    </row>
    <row r="102" spans="1:1">
      <c r="A102"/>
    </row>
    <row r="103" spans="1:1">
      <c r="A103"/>
    </row>
    <row r="105" spans="1:1">
      <c r="A105"/>
    </row>
    <row r="106" spans="1:1">
      <c r="A106"/>
    </row>
    <row r="111" spans="1:1">
      <c r="A111"/>
    </row>
    <row r="112" spans="1:1">
      <c r="A112"/>
    </row>
    <row r="113" spans="1:1">
      <c r="A113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</sheetData>
  <mergeCells count="3">
    <mergeCell ref="I11:J11"/>
    <mergeCell ref="I12:J12"/>
    <mergeCell ref="K22:T2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ARIMA GUI</vt:lpstr>
      <vt:lpstr>ARIMA Formulas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Vargas Ríos</dc:creator>
  <cp:lastModifiedBy>Armando Vargas Ríos</cp:lastModifiedBy>
  <dcterms:created xsi:type="dcterms:W3CDTF">2020-10-26T17:21:57Z</dcterms:created>
  <dcterms:modified xsi:type="dcterms:W3CDTF">2020-12-12T00:15:05Z</dcterms:modified>
</cp:coreProperties>
</file>