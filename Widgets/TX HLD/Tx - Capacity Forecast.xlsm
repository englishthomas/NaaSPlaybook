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rgio\Documents\TeleworX_2020\PlayBook\NaaSRunBook\Widgets\TX HLD\"/>
    </mc:Choice>
  </mc:AlternateContent>
  <xr:revisionPtr revIDLastSave="0" documentId="13_ncr:1_{764AB24A-13D5-4B1D-BFD5-C02B70DC9CC9}" xr6:coauthVersionLast="45" xr6:coauthVersionMax="45" xr10:uidLastSave="{00000000-0000-0000-0000-000000000000}"/>
  <bookViews>
    <workbookView xWindow="-98" yWindow="-98" windowWidth="20715" windowHeight="13276" xr2:uid="{00000000-000D-0000-FFFF-FFFF00000000}"/>
  </bookViews>
  <sheets>
    <sheet name="Tx - Capacity Forecast" sheetId="17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" i="17" l="1"/>
  <c r="D16" i="17" s="1"/>
  <c r="C13" i="17"/>
  <c r="C16" i="17" s="1"/>
  <c r="C19" i="17" l="1"/>
  <c r="C29" i="17" s="1"/>
</calcChain>
</file>

<file path=xl/sharedStrings.xml><?xml version="1.0" encoding="utf-8"?>
<sst xmlns="http://schemas.openxmlformats.org/spreadsheetml/2006/main" count="24" uniqueCount="21">
  <si>
    <t>No</t>
  </si>
  <si>
    <t>Yes</t>
  </si>
  <si>
    <t>Inputs</t>
  </si>
  <si>
    <t>Bandwidth</t>
  </si>
  <si>
    <t>DL (Mbps)</t>
  </si>
  <si>
    <t>UL (Mbps)</t>
  </si>
  <si>
    <t>Bandwidth (MHz)</t>
  </si>
  <si>
    <t>Sector Average Throughput</t>
  </si>
  <si>
    <t>Downlink</t>
  </si>
  <si>
    <t>Uplink</t>
  </si>
  <si>
    <t>Sector Average Throughput (Mbps)</t>
  </si>
  <si>
    <t>Number of sectors</t>
  </si>
  <si>
    <t>*Average to Peak Ratio = 4</t>
  </si>
  <si>
    <t>IPSec Required</t>
  </si>
  <si>
    <t>Overbooking Factor in Aggregation</t>
  </si>
  <si>
    <t>Number of Aggregated Cells</t>
  </si>
  <si>
    <t>Aggregation Capacity (Mbps)</t>
  </si>
  <si>
    <t>Last-mile Link Capacity Calculation</t>
  </si>
  <si>
    <t>Aggregation Link Capacity Calculation</t>
  </si>
  <si>
    <t>Cell Aggregated Throughput (Mbps)</t>
  </si>
  <si>
    <t>Last-mile Capacity (Mbps)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</si>
</sst>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9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2" borderId="5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1" fontId="0" fillId="3" borderId="1" xfId="0" applyNumberFormat="1" applyFill="1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3" xfId="0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2" xfId="0" applyBorder="1"/>
    <xf numFmtId="0" fontId="3" fillId="2" borderId="0" xfId="0" applyFont="1" applyFill="1" applyAlignment="1">
      <alignment horizontal="center"/>
    </xf>
    <xf numFmtId="0" fontId="1" fillId="2" borderId="4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254453</xdr:colOff>
      <xdr:row>27</xdr:row>
      <xdr:rowOff>108857</xdr:rowOff>
    </xdr:from>
    <xdr:to>
      <xdr:col>7</xdr:col>
      <xdr:colOff>730703</xdr:colOff>
      <xdr:row>29</xdr:row>
      <xdr:rowOff>80282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03989" y="4490357"/>
          <a:ext cx="4286250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239405</xdr:colOff>
      <xdr:row>14</xdr:row>
      <xdr:rowOff>11848</xdr:rowOff>
    </xdr:from>
    <xdr:to>
      <xdr:col>9</xdr:col>
      <xdr:colOff>262537</xdr:colOff>
      <xdr:row>17</xdr:row>
      <xdr:rowOff>49948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8140" y="2690054"/>
          <a:ext cx="5357132" cy="620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67235</xdr:colOff>
      <xdr:row>7</xdr:row>
      <xdr:rowOff>26107</xdr:rowOff>
    </xdr:from>
    <xdr:to>
      <xdr:col>14</xdr:col>
      <xdr:colOff>78442</xdr:colOff>
      <xdr:row>11</xdr:row>
      <xdr:rowOff>8604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11970" y="1370813"/>
          <a:ext cx="3059207" cy="744497"/>
        </a:xfrm>
        <a:prstGeom prst="rect">
          <a:avLst/>
        </a:prstGeom>
      </xdr:spPr>
    </xdr:pic>
    <xdr:clientData/>
  </xdr:twoCellAnchor>
  <xdr:twoCellAnchor editAs="oneCell">
    <xdr:from>
      <xdr:col>9</xdr:col>
      <xdr:colOff>88924</xdr:colOff>
      <xdr:row>24</xdr:row>
      <xdr:rowOff>84553</xdr:rowOff>
    </xdr:from>
    <xdr:to>
      <xdr:col>14</xdr:col>
      <xdr:colOff>645580</xdr:colOff>
      <xdr:row>33</xdr:row>
      <xdr:rowOff>11339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871659" y="4690171"/>
          <a:ext cx="4366656" cy="1641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B1:O57"/>
  <sheetViews>
    <sheetView showGridLines="0" tabSelected="1" topLeftCell="A7" zoomScale="85" zoomScaleNormal="85" workbookViewId="0">
      <selection activeCell="B11" sqref="B11:H11"/>
    </sheetView>
  </sheetViews>
  <sheetFormatPr defaultColWidth="10.6640625" defaultRowHeight="14.25" x14ac:dyDescent="0.45"/>
  <cols>
    <col min="2" max="2" width="37.1328125" customWidth="1"/>
    <col min="6" max="6" width="32.3984375" customWidth="1"/>
    <col min="7" max="7" width="13.265625" bestFit="1" customWidth="1"/>
  </cols>
  <sheetData>
    <row r="1" spans="2:15" ht="14.65" thickBot="1" x14ac:dyDescent="0.5"/>
    <row r="2" spans="2:15" x14ac:dyDescent="0.45">
      <c r="B2" s="18" t="s">
        <v>2</v>
      </c>
      <c r="C2" s="18"/>
      <c r="D2" s="18"/>
      <c r="E2" s="18"/>
      <c r="F2" s="18"/>
      <c r="G2" s="18"/>
      <c r="H2" s="18"/>
      <c r="J2" s="9"/>
      <c r="K2" s="10"/>
      <c r="L2" s="10"/>
      <c r="M2" s="10"/>
      <c r="N2" s="10"/>
      <c r="O2" s="11"/>
    </row>
    <row r="3" spans="2:15" x14ac:dyDescent="0.45">
      <c r="C3" s="4"/>
      <c r="D3" s="4"/>
      <c r="J3" s="12"/>
      <c r="K3" s="13"/>
      <c r="L3" s="13"/>
      <c r="M3" s="13"/>
      <c r="N3" s="13"/>
      <c r="O3" s="14"/>
    </row>
    <row r="4" spans="2:15" x14ac:dyDescent="0.45">
      <c r="B4" s="3" t="s">
        <v>6</v>
      </c>
      <c r="C4" s="1">
        <v>15</v>
      </c>
      <c r="J4" s="12"/>
      <c r="K4" s="13"/>
      <c r="L4" s="13"/>
      <c r="M4" s="13"/>
      <c r="N4" s="13"/>
      <c r="O4" s="14"/>
    </row>
    <row r="5" spans="2:15" x14ac:dyDescent="0.45">
      <c r="J5" s="12"/>
      <c r="K5" s="13"/>
      <c r="L5" s="13"/>
      <c r="M5" s="13"/>
      <c r="N5" s="13"/>
      <c r="O5" s="14"/>
    </row>
    <row r="6" spans="2:15" x14ac:dyDescent="0.45">
      <c r="B6" s="3" t="s">
        <v>11</v>
      </c>
      <c r="C6" s="1">
        <v>3</v>
      </c>
      <c r="J6" s="12"/>
      <c r="K6" s="13"/>
      <c r="L6" s="13"/>
      <c r="M6" s="13"/>
      <c r="N6" s="13"/>
      <c r="O6" s="14"/>
    </row>
    <row r="7" spans="2:15" x14ac:dyDescent="0.45">
      <c r="J7" s="12"/>
      <c r="K7" s="13"/>
      <c r="L7" s="13"/>
      <c r="M7" s="13"/>
      <c r="N7" s="13"/>
      <c r="O7" s="14"/>
    </row>
    <row r="8" spans="2:15" x14ac:dyDescent="0.45">
      <c r="B8" t="s">
        <v>13</v>
      </c>
      <c r="C8" s="1" t="s">
        <v>0</v>
      </c>
      <c r="J8" s="12"/>
      <c r="K8" s="13"/>
      <c r="L8" s="13"/>
      <c r="M8" s="13"/>
      <c r="N8" s="13"/>
      <c r="O8" s="14"/>
    </row>
    <row r="9" spans="2:15" x14ac:dyDescent="0.45">
      <c r="J9" s="12"/>
      <c r="K9" s="13"/>
      <c r="L9" s="13"/>
      <c r="M9" s="13"/>
      <c r="N9" s="13"/>
      <c r="O9" s="14"/>
    </row>
    <row r="10" spans="2:15" x14ac:dyDescent="0.45">
      <c r="J10" s="12"/>
      <c r="K10" s="13"/>
      <c r="L10" s="13"/>
      <c r="M10" s="13"/>
      <c r="N10" s="13"/>
      <c r="O10" s="14"/>
    </row>
    <row r="11" spans="2:15" x14ac:dyDescent="0.45">
      <c r="B11" s="18" t="s">
        <v>17</v>
      </c>
      <c r="C11" s="18"/>
      <c r="D11" s="18"/>
      <c r="E11" s="18"/>
      <c r="F11" s="18"/>
      <c r="G11" s="18"/>
      <c r="H11" s="18"/>
      <c r="J11" s="12"/>
      <c r="K11" s="13"/>
      <c r="L11" s="13"/>
      <c r="M11" s="13"/>
      <c r="N11" s="13"/>
      <c r="O11" s="14"/>
    </row>
    <row r="12" spans="2:15" x14ac:dyDescent="0.45">
      <c r="C12" s="5" t="s">
        <v>8</v>
      </c>
      <c r="D12" s="5" t="s">
        <v>9</v>
      </c>
      <c r="J12" s="12"/>
      <c r="K12" s="13"/>
      <c r="L12" s="13"/>
      <c r="M12" s="13"/>
      <c r="N12" s="13"/>
      <c r="O12" s="14"/>
    </row>
    <row r="13" spans="2:15" x14ac:dyDescent="0.45">
      <c r="B13" s="3" t="s">
        <v>10</v>
      </c>
      <c r="C13" s="8">
        <f>INDEX($B$51:$D$54,MATCH($C$4,$B$51:$B$54,0),2)</f>
        <v>20</v>
      </c>
      <c r="D13" s="8">
        <f>INDEX($B$51:$D$54,MATCH($C$4,$B$51:$B$54,0),3)</f>
        <v>10</v>
      </c>
      <c r="F13" s="4"/>
      <c r="J13" s="12"/>
      <c r="K13" s="13"/>
      <c r="L13" s="13"/>
      <c r="M13" s="13"/>
      <c r="N13" s="13"/>
      <c r="O13" s="14"/>
    </row>
    <row r="14" spans="2:15" x14ac:dyDescent="0.45">
      <c r="J14" s="12"/>
      <c r="K14" s="13"/>
      <c r="L14" s="13"/>
      <c r="M14" s="13"/>
      <c r="N14" s="13"/>
      <c r="O14" s="14"/>
    </row>
    <row r="15" spans="2:15" x14ac:dyDescent="0.45">
      <c r="C15" s="5" t="s">
        <v>8</v>
      </c>
      <c r="D15" s="5" t="s">
        <v>9</v>
      </c>
      <c r="J15" s="12"/>
      <c r="K15" s="13"/>
      <c r="L15" s="13"/>
      <c r="M15" s="13"/>
      <c r="N15" s="13"/>
      <c r="O15" s="14"/>
    </row>
    <row r="16" spans="2:15" x14ac:dyDescent="0.45">
      <c r="B16" s="3" t="s">
        <v>19</v>
      </c>
      <c r="C16" s="8">
        <f>MAX(C13*$C$6,4*C13)</f>
        <v>80</v>
      </c>
      <c r="D16" s="8">
        <f>MAX(D13*$C$6,4*D13)</f>
        <v>40</v>
      </c>
      <c r="J16" s="12"/>
      <c r="K16" s="13"/>
      <c r="L16" s="13"/>
      <c r="M16" s="13"/>
      <c r="N16" s="13"/>
      <c r="O16" s="14"/>
    </row>
    <row r="17" spans="2:15" ht="14.65" thickBot="1" x14ac:dyDescent="0.5">
      <c r="B17" s="2" t="s">
        <v>12</v>
      </c>
      <c r="J17" s="15"/>
      <c r="K17" s="16"/>
      <c r="L17" s="16"/>
      <c r="M17" s="16"/>
      <c r="N17" s="16"/>
      <c r="O17" s="17"/>
    </row>
    <row r="19" spans="2:15" x14ac:dyDescent="0.45">
      <c r="B19" s="3" t="s">
        <v>20</v>
      </c>
      <c r="C19" s="8">
        <f>IF(C8="No",MAX(C16,D16)*1.14,MAX(C16,D16)*1.28)</f>
        <v>91.199999999999989</v>
      </c>
    </row>
    <row r="21" spans="2:15" ht="14.65" thickBot="1" x14ac:dyDescent="0.5">
      <c r="B21" s="2"/>
    </row>
    <row r="22" spans="2:15" x14ac:dyDescent="0.45">
      <c r="B22" s="2"/>
      <c r="J22" s="9"/>
      <c r="K22" s="10"/>
      <c r="L22" s="10"/>
      <c r="M22" s="10"/>
      <c r="N22" s="10"/>
      <c r="O22" s="11"/>
    </row>
    <row r="23" spans="2:15" x14ac:dyDescent="0.45">
      <c r="B23" s="18" t="s">
        <v>18</v>
      </c>
      <c r="C23" s="18"/>
      <c r="D23" s="18"/>
      <c r="E23" s="18"/>
      <c r="F23" s="18"/>
      <c r="G23" s="18"/>
      <c r="H23" s="18"/>
      <c r="J23" s="12"/>
      <c r="K23" s="13"/>
      <c r="L23" s="13"/>
      <c r="M23" s="13"/>
      <c r="N23" s="13"/>
      <c r="O23" s="14"/>
    </row>
    <row r="24" spans="2:15" x14ac:dyDescent="0.45">
      <c r="B24" s="3"/>
      <c r="J24" s="12"/>
      <c r="K24" s="13"/>
      <c r="L24" s="13"/>
      <c r="M24" s="13"/>
      <c r="N24" s="13"/>
      <c r="O24" s="14"/>
    </row>
    <row r="25" spans="2:15" x14ac:dyDescent="0.45">
      <c r="B25" t="s">
        <v>15</v>
      </c>
      <c r="C25" s="1">
        <v>2</v>
      </c>
      <c r="J25" s="12"/>
      <c r="K25" s="13"/>
      <c r="L25" s="13"/>
      <c r="M25" s="13"/>
      <c r="N25" s="13"/>
      <c r="O25" s="14"/>
    </row>
    <row r="26" spans="2:15" x14ac:dyDescent="0.45">
      <c r="B26" s="3"/>
      <c r="J26" s="12"/>
      <c r="K26" s="13"/>
      <c r="L26" s="13"/>
      <c r="M26" s="13"/>
      <c r="N26" s="13"/>
      <c r="O26" s="14"/>
    </row>
    <row r="27" spans="2:15" x14ac:dyDescent="0.45">
      <c r="B27" t="s">
        <v>14</v>
      </c>
      <c r="C27" s="1">
        <v>1.5</v>
      </c>
      <c r="J27" s="12"/>
      <c r="K27" s="13"/>
      <c r="L27" s="13"/>
      <c r="M27" s="13"/>
      <c r="N27" s="13"/>
      <c r="O27" s="14"/>
    </row>
    <row r="28" spans="2:15" x14ac:dyDescent="0.45">
      <c r="B28" s="3"/>
      <c r="J28" s="12"/>
      <c r="K28" s="13"/>
      <c r="L28" s="13"/>
      <c r="M28" s="13"/>
      <c r="N28" s="13"/>
      <c r="O28" s="14"/>
    </row>
    <row r="29" spans="2:15" x14ac:dyDescent="0.45">
      <c r="B29" s="3" t="s">
        <v>16</v>
      </c>
      <c r="C29" s="8">
        <f>$C$19*C25*(1/$C$27)</f>
        <v>121.59999999999998</v>
      </c>
      <c r="J29" s="12"/>
      <c r="K29" s="13"/>
      <c r="L29" s="13"/>
      <c r="M29" s="13"/>
      <c r="N29" s="13"/>
      <c r="O29" s="14"/>
    </row>
    <row r="30" spans="2:15" x14ac:dyDescent="0.45">
      <c r="B30" s="2"/>
      <c r="J30" s="12"/>
      <c r="K30" s="13"/>
      <c r="L30" s="13"/>
      <c r="M30" s="13"/>
      <c r="N30" s="13"/>
      <c r="O30" s="14"/>
    </row>
    <row r="31" spans="2:15" x14ac:dyDescent="0.45">
      <c r="J31" s="12"/>
      <c r="K31" s="13"/>
      <c r="L31" s="13"/>
      <c r="M31" s="13"/>
      <c r="N31" s="13"/>
      <c r="O31" s="14"/>
    </row>
    <row r="32" spans="2:15" x14ac:dyDescent="0.45">
      <c r="J32" s="12"/>
      <c r="K32" s="13"/>
      <c r="L32" s="13"/>
      <c r="M32" s="13"/>
      <c r="N32" s="13"/>
      <c r="O32" s="14"/>
    </row>
    <row r="33" spans="10:15" x14ac:dyDescent="0.45">
      <c r="J33" s="12"/>
      <c r="K33" s="13"/>
      <c r="L33" s="13"/>
      <c r="M33" s="13"/>
      <c r="N33" s="13"/>
      <c r="O33" s="14"/>
    </row>
    <row r="34" spans="10:15" x14ac:dyDescent="0.45">
      <c r="J34" s="12"/>
      <c r="K34" s="13"/>
      <c r="L34" s="13"/>
      <c r="M34" s="13"/>
      <c r="N34" s="13"/>
      <c r="O34" s="14"/>
    </row>
    <row r="35" spans="10:15" x14ac:dyDescent="0.45">
      <c r="J35" s="12"/>
      <c r="K35" s="13"/>
      <c r="L35" s="13"/>
      <c r="M35" s="13"/>
      <c r="N35" s="13"/>
      <c r="O35" s="14"/>
    </row>
    <row r="36" spans="10:15" x14ac:dyDescent="0.45">
      <c r="J36" s="12"/>
      <c r="K36" s="13"/>
      <c r="L36" s="13"/>
      <c r="M36" s="13"/>
      <c r="N36" s="13"/>
      <c r="O36" s="14"/>
    </row>
    <row r="37" spans="10:15" ht="14.65" thickBot="1" x14ac:dyDescent="0.5">
      <c r="J37" s="15"/>
      <c r="K37" s="16"/>
      <c r="L37" s="16"/>
      <c r="M37" s="16"/>
      <c r="N37" s="16"/>
      <c r="O37" s="17"/>
    </row>
    <row r="48" spans="10:15" ht="14.65" thickBot="1" x14ac:dyDescent="0.5"/>
    <row r="49" spans="2:4" ht="14.65" thickBot="1" x14ac:dyDescent="0.5">
      <c r="B49" s="19" t="s">
        <v>3</v>
      </c>
      <c r="C49" s="21" t="s">
        <v>7</v>
      </c>
      <c r="D49" s="22"/>
    </row>
    <row r="50" spans="2:4" x14ac:dyDescent="0.45">
      <c r="B50" s="20"/>
      <c r="C50" s="6" t="s">
        <v>4</v>
      </c>
      <c r="D50" s="6" t="s">
        <v>5</v>
      </c>
    </row>
    <row r="51" spans="2:4" x14ac:dyDescent="0.45">
      <c r="B51" s="7">
        <v>5</v>
      </c>
      <c r="C51" s="7">
        <v>6</v>
      </c>
      <c r="D51" s="7">
        <v>3</v>
      </c>
    </row>
    <row r="52" spans="2:4" x14ac:dyDescent="0.45">
      <c r="B52" s="7">
        <v>10</v>
      </c>
      <c r="C52" s="7">
        <v>13</v>
      </c>
      <c r="D52" s="7">
        <v>7</v>
      </c>
    </row>
    <row r="53" spans="2:4" x14ac:dyDescent="0.45">
      <c r="B53" s="7">
        <v>15</v>
      </c>
      <c r="C53" s="7">
        <v>20</v>
      </c>
      <c r="D53" s="7">
        <v>10</v>
      </c>
    </row>
    <row r="54" spans="2:4" x14ac:dyDescent="0.45">
      <c r="B54" s="7">
        <v>20</v>
      </c>
      <c r="C54" s="7">
        <v>26</v>
      </c>
      <c r="D54" s="7">
        <v>14</v>
      </c>
    </row>
    <row r="56" spans="2:4" x14ac:dyDescent="0.45">
      <c r="C56" t="s">
        <v>1</v>
      </c>
    </row>
    <row r="57" spans="2:4" x14ac:dyDescent="0.45">
      <c r="C57" t="s">
        <v>0</v>
      </c>
    </row>
  </sheetData>
  <mergeCells count="5">
    <mergeCell ref="B23:H23"/>
    <mergeCell ref="B2:H2"/>
    <mergeCell ref="B11:H11"/>
    <mergeCell ref="B49:B50"/>
    <mergeCell ref="C49:D49"/>
  </mergeCells>
  <dataValidations count="2">
    <dataValidation type="list" allowBlank="1" showInputMessage="1" showErrorMessage="1" sqref="C4" xr:uid="{00000000-0002-0000-0400-000000000000}">
      <formula1>$B$51:$B$54</formula1>
    </dataValidation>
    <dataValidation type="list" allowBlank="1" showInputMessage="1" showErrorMessage="1" sqref="C8" xr:uid="{00000000-0002-0000-0400-000001000000}">
      <formula1>$C$56:$C$57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Tx - Capacity Forecast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TeleworX</dc:creator>
  <cp:lastModifiedBy>Sergio</cp:lastModifiedBy>
  <dcterms:created xsi:type="dcterms:W3CDTF">2020-02-15T20:02:38Z</dcterms:created>
  <dcterms:modified xsi:type="dcterms:W3CDTF">2020-09-02T16:51:37Z</dcterms:modified>
</cp:coreProperties>
</file>