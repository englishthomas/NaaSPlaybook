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gio\Documents\TeleworX_2020\PlayBook\NaaSRunBook\Widgets\TX HLD\"/>
    </mc:Choice>
  </mc:AlternateContent>
  <xr:revisionPtr revIDLastSave="0" documentId="13_ncr:1_{1CDAAD76-5A54-4ECF-B027-CE6EBC2B4A81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Tx Microwave" sheetId="1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13" l="1"/>
  <c r="C20" i="13" s="1"/>
  <c r="C22" i="13" s="1"/>
  <c r="C16" i="13"/>
  <c r="C18" i="13"/>
</calcChain>
</file>

<file path=xl/sharedStrings.xml><?xml version="1.0" encoding="utf-8"?>
<sst xmlns="http://schemas.openxmlformats.org/spreadsheetml/2006/main" count="17" uniqueCount="15">
  <si>
    <t>Inputs</t>
  </si>
  <si>
    <t>Tx Coordenates (decimal degrees)</t>
  </si>
  <si>
    <t>Rx Coordenates(decimal degrees)</t>
  </si>
  <si>
    <t>Distance (km)</t>
  </si>
  <si>
    <t>Latitud</t>
  </si>
  <si>
    <t>Longitude</t>
  </si>
  <si>
    <t>Tx Power (dBm)</t>
  </si>
  <si>
    <t>Tx Frequency (GHz)</t>
  </si>
  <si>
    <t>Tx Antenna Gain (dBi)</t>
  </si>
  <si>
    <t>Tx Receiver Gain (dBi)</t>
  </si>
  <si>
    <t>Transmitter True Azimuth (°)</t>
  </si>
  <si>
    <t>Receiver True Azimuth  (°)</t>
  </si>
  <si>
    <t>Received Power (dBm)</t>
  </si>
  <si>
    <t>Free Space Path Loss (dB)</t>
  </si>
  <si>
    <t>MW Link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</si>
</sst>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447675</xdr:colOff>
      <xdr:row>20</xdr:row>
      <xdr:rowOff>176212</xdr:rowOff>
    </xdr:from>
    <xdr:ext cx="247650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133850" y="3986212"/>
              <a:ext cx="24765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MX" sz="14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𝑃</m:t>
                      </m:r>
                    </m:e>
                    <m:sub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𝑅𝑋</m:t>
                      </m:r>
                    </m:sub>
                  </m:sSub>
                  <m:r>
                    <a:rPr lang="es-MX" sz="1400" b="0" i="1">
                      <a:latin typeface="Cambria Math" panose="02040503050406030204" pitchFamily="18" charset="0"/>
                    </a:rPr>
                    <m:t>(</m:t>
                  </m:r>
                  <m:r>
                    <a:rPr lang="es-MX" sz="1400" b="0" i="1">
                      <a:latin typeface="Cambria Math" panose="02040503050406030204" pitchFamily="18" charset="0"/>
                    </a:rPr>
                    <m:t>𝑑𝐵</m:t>
                  </m:r>
                  <m:r>
                    <a:rPr lang="es-MX" sz="1400" b="0" i="1">
                      <a:latin typeface="Cambria Math" panose="02040503050406030204" pitchFamily="18" charset="0"/>
                    </a:rPr>
                    <m:t>)=</m:t>
                  </m:r>
                  <m:sSub>
                    <m:sSubPr>
                      <m:ctrlPr>
                        <a:rPr lang="es-MX" sz="14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</m:t>
                      </m:r>
                    </m:e>
                    <m:sub>
                      <m:r>
                        <a:rPr lang="es-MX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𝑇𝑋</m:t>
                      </m:r>
                    </m:sub>
                  </m:sSub>
                </m:oMath>
              </a14:m>
              <a:r>
                <a:rPr lang="es-MX" sz="14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s-MX" sz="14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</m:t>
                      </m:r>
                    </m:e>
                    <m:sub>
                      <m:r>
                        <a:rPr lang="es-MX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𝑇𝑋</m:t>
                      </m:r>
                    </m:sub>
                  </m:sSub>
                </m:oMath>
              </a14:m>
              <a:r>
                <a:rPr lang="es-MX" sz="1400"/>
                <a:t>-</a:t>
              </a:r>
              <a14:m>
                <m:oMath xmlns:m="http://schemas.openxmlformats.org/officeDocument/2006/math">
                  <m:r>
                    <a:rPr lang="es-MX" sz="14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𝐹</m:t>
                  </m:r>
                  <m:r>
                    <a:rPr lang="es-MX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𝐷𝑃𝐿</m:t>
                  </m:r>
                </m:oMath>
              </a14:m>
              <a:r>
                <a:rPr lang="es-MX" sz="14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s-MX" sz="14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</m:t>
                      </m:r>
                    </m:e>
                    <m:sub>
                      <m:r>
                        <a:rPr lang="es-MX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𝑅𝑋</m:t>
                      </m:r>
                    </m:sub>
                  </m:sSub>
                </m:oMath>
              </a14:m>
              <a:endParaRPr lang="es-MX" sz="140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4133850" y="3986212"/>
              <a:ext cx="24765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400" b="0" i="0">
                  <a:latin typeface="Cambria Math" panose="02040503050406030204" pitchFamily="18" charset="0"/>
                </a:rPr>
                <a:t>𝑃_𝑅𝑋 (𝑑𝐵)=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𝑃_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𝑋</a:t>
              </a:r>
              <a:r>
                <a:rPr lang="es-MX" sz="1400"/>
                <a:t>+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𝑋</a:t>
              </a:r>
              <a:r>
                <a:rPr lang="es-MX" sz="1400"/>
                <a:t>-</a:t>
              </a:r>
              <a:r>
                <a:rPr lang="es-MX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𝐷𝑃𝐿</a:t>
              </a:r>
              <a:r>
                <a:rPr lang="es-MX" sz="1400"/>
                <a:t>+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_𝑅𝑋</a:t>
              </a:r>
              <a:endParaRPr lang="es-MX" sz="1400"/>
            </a:p>
          </xdr:txBody>
        </xdr:sp>
      </mc:Fallback>
    </mc:AlternateContent>
    <xdr:clientData/>
  </xdr:oneCellAnchor>
  <xdr:oneCellAnchor>
    <xdr:from>
      <xdr:col>3</xdr:col>
      <xdr:colOff>457200</xdr:colOff>
      <xdr:row>19</xdr:row>
      <xdr:rowOff>4762</xdr:rowOff>
    </xdr:from>
    <xdr:ext cx="32956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4143375" y="3624262"/>
              <a:ext cx="3295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MX" sz="1400" i="1">
                      <a:latin typeface="Cambria Math" panose="02040503050406030204" pitchFamily="18" charset="0"/>
                    </a:rPr>
                    <m:t>𝐹</m:t>
                  </m:r>
                  <m:r>
                    <a:rPr lang="es-MX" sz="1400" b="0" i="1">
                      <a:latin typeface="Cambria Math" panose="02040503050406030204" pitchFamily="18" charset="0"/>
                    </a:rPr>
                    <m:t>𝑆𝑃𝐿</m:t>
                  </m:r>
                  <m:r>
                    <a:rPr lang="es-MX" sz="1400" b="0" i="1">
                      <a:latin typeface="Cambria Math" panose="02040503050406030204" pitchFamily="18" charset="0"/>
                    </a:rPr>
                    <m:t>(</m:t>
                  </m:r>
                  <m:r>
                    <a:rPr lang="es-MX" sz="1400" b="0" i="1">
                      <a:latin typeface="Cambria Math" panose="02040503050406030204" pitchFamily="18" charset="0"/>
                    </a:rPr>
                    <m:t>𝑑𝐵</m:t>
                  </m:r>
                  <m:r>
                    <a:rPr lang="es-MX" sz="1400" b="0" i="1">
                      <a:latin typeface="Cambria Math" panose="02040503050406030204" pitchFamily="18" charset="0"/>
                    </a:rPr>
                    <m:t>)=</m:t>
                  </m:r>
                  <m:sSub>
                    <m:sSubPr>
                      <m:ctrlPr>
                        <a:rPr lang="es-MX" sz="14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20</m:t>
                      </m:r>
                      <m:r>
                        <a:rPr lang="es-MX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𝑙𝑜𝑔</m:t>
                      </m:r>
                    </m:e>
                    <m:sub>
                      <m:r>
                        <a:rPr lang="es-MX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sub>
                  </m:sSub>
                  <m:r>
                    <a:rPr lang="es-MX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r>
                    <a:rPr lang="es-MX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𝑑</m:t>
                  </m:r>
                  <m:r>
                    <a:rPr lang="es-MX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r>
                    <a:rPr lang="es-MX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𝑓</m:t>
                  </m:r>
                  <m:r>
                    <a:rPr lang="es-MX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lang="es-MX" sz="1400"/>
                <a:t>+</a:t>
              </a:r>
              <a14:m>
                <m:oMath xmlns:m="http://schemas.openxmlformats.org/officeDocument/2006/math">
                  <m:r>
                    <a:rPr lang="es-MX" sz="14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9</m:t>
                  </m:r>
                  <m:r>
                    <a:rPr lang="es-MX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2.45</m:t>
                  </m:r>
                </m:oMath>
              </a14:m>
              <a:endParaRPr lang="es-MX" sz="140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4143375" y="3624262"/>
              <a:ext cx="3295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400" i="0">
                  <a:latin typeface="Cambria Math" panose="02040503050406030204" pitchFamily="18" charset="0"/>
                </a:rPr>
                <a:t>𝐹</a:t>
              </a:r>
              <a:r>
                <a:rPr lang="es-MX" sz="1400" b="0" i="0">
                  <a:latin typeface="Cambria Math" panose="02040503050406030204" pitchFamily="18" charset="0"/>
                </a:rPr>
                <a:t>𝑆𝑃𝐿(𝑑𝐵)=</a:t>
              </a:r>
              <a:r>
                <a:rPr lang="es-MX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20𝑙𝑜𝑔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10 (𝑑∗𝑓)</a:t>
              </a:r>
              <a:r>
                <a:rPr lang="es-MX" sz="1400"/>
                <a:t>+</a:t>
              </a:r>
              <a:r>
                <a:rPr lang="es-MX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9</a:t>
              </a:r>
              <a:r>
                <a:rPr lang="es-MX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2.45</a:t>
              </a:r>
              <a:endParaRPr lang="es-MX" sz="1400"/>
            </a:p>
          </xdr:txBody>
        </xdr:sp>
      </mc:Fallback>
    </mc:AlternateContent>
    <xdr:clientData/>
  </xdr:oneCellAnchor>
  <xdr:twoCellAnchor editAs="oneCell">
    <xdr:from>
      <xdr:col>9</xdr:col>
      <xdr:colOff>336178</xdr:colOff>
      <xdr:row>1</xdr:row>
      <xdr:rowOff>176175</xdr:rowOff>
    </xdr:from>
    <xdr:to>
      <xdr:col>14</xdr:col>
      <xdr:colOff>515472</xdr:colOff>
      <xdr:row>17</xdr:row>
      <xdr:rowOff>27612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18913" y="377881"/>
          <a:ext cx="3989294" cy="29106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O24"/>
  <sheetViews>
    <sheetView showGridLines="0" tabSelected="1" zoomScale="85" zoomScaleNormal="85" workbookViewId="0">
      <selection activeCell="B23" sqref="B23"/>
    </sheetView>
  </sheetViews>
  <sheetFormatPr defaultColWidth="10.6640625" defaultRowHeight="14.25" x14ac:dyDescent="0.45"/>
  <cols>
    <col min="2" max="2" width="32.3984375" customWidth="1"/>
    <col min="6" max="6" width="32.3984375" customWidth="1"/>
    <col min="7" max="7" width="13.265625" bestFit="1" customWidth="1"/>
  </cols>
  <sheetData>
    <row r="1" spans="2:15" ht="14.65" thickBot="1" x14ac:dyDescent="0.5"/>
    <row r="2" spans="2:15" x14ac:dyDescent="0.45">
      <c r="B2" s="18" t="s">
        <v>0</v>
      </c>
      <c r="C2" s="18"/>
      <c r="D2" s="18"/>
      <c r="E2" s="18"/>
      <c r="F2" s="18"/>
      <c r="G2" s="18"/>
      <c r="H2" s="18"/>
      <c r="J2" s="9"/>
      <c r="K2" s="10"/>
      <c r="L2" s="10"/>
      <c r="M2" s="10"/>
      <c r="N2" s="10"/>
      <c r="O2" s="11"/>
    </row>
    <row r="3" spans="2:15" x14ac:dyDescent="0.45">
      <c r="C3" s="5" t="s">
        <v>4</v>
      </c>
      <c r="D3" s="5" t="s">
        <v>5</v>
      </c>
      <c r="G3" s="5" t="s">
        <v>4</v>
      </c>
      <c r="H3" s="5" t="s">
        <v>5</v>
      </c>
      <c r="J3" s="12"/>
      <c r="K3" s="13"/>
      <c r="L3" s="13"/>
      <c r="M3" s="13"/>
      <c r="N3" s="13"/>
      <c r="O3" s="14"/>
    </row>
    <row r="4" spans="2:15" x14ac:dyDescent="0.45">
      <c r="B4" s="4" t="s">
        <v>1</v>
      </c>
      <c r="C4" s="2">
        <v>-11.29095</v>
      </c>
      <c r="D4" s="2">
        <v>-74.543419999999998</v>
      </c>
      <c r="F4" s="4" t="s">
        <v>2</v>
      </c>
      <c r="G4" s="1">
        <v>-11.325488999999999</v>
      </c>
      <c r="H4" s="1">
        <v>-74.7531228</v>
      </c>
      <c r="J4" s="12"/>
      <c r="K4" s="13"/>
      <c r="L4" s="13"/>
      <c r="M4" s="13"/>
      <c r="N4" s="13"/>
      <c r="O4" s="14"/>
    </row>
    <row r="5" spans="2:15" x14ac:dyDescent="0.45">
      <c r="J5" s="12"/>
      <c r="K5" s="13"/>
      <c r="L5" s="13"/>
      <c r="M5" s="13"/>
      <c r="N5" s="13"/>
      <c r="O5" s="14"/>
    </row>
    <row r="6" spans="2:15" x14ac:dyDescent="0.45">
      <c r="B6" t="s">
        <v>8</v>
      </c>
      <c r="C6" s="2">
        <v>5</v>
      </c>
      <c r="F6" t="s">
        <v>9</v>
      </c>
      <c r="G6" s="2">
        <v>5</v>
      </c>
      <c r="J6" s="12"/>
      <c r="K6" s="13"/>
      <c r="L6" s="13"/>
      <c r="M6" s="13"/>
      <c r="N6" s="13"/>
      <c r="O6" s="14"/>
    </row>
    <row r="7" spans="2:15" x14ac:dyDescent="0.45">
      <c r="J7" s="12"/>
      <c r="K7" s="13"/>
      <c r="L7" s="13"/>
      <c r="M7" s="13"/>
      <c r="N7" s="13"/>
      <c r="O7" s="14"/>
    </row>
    <row r="8" spans="2:15" x14ac:dyDescent="0.45">
      <c r="B8" t="s">
        <v>6</v>
      </c>
      <c r="C8" s="2">
        <v>30</v>
      </c>
      <c r="J8" s="12"/>
      <c r="K8" s="13"/>
      <c r="L8" s="13"/>
      <c r="M8" s="13"/>
      <c r="N8" s="13"/>
      <c r="O8" s="14"/>
    </row>
    <row r="9" spans="2:15" x14ac:dyDescent="0.45">
      <c r="J9" s="12"/>
      <c r="K9" s="13"/>
      <c r="L9" s="13"/>
      <c r="M9" s="13"/>
      <c r="N9" s="13"/>
      <c r="O9" s="14"/>
    </row>
    <row r="10" spans="2:15" x14ac:dyDescent="0.45">
      <c r="B10" t="s">
        <v>7</v>
      </c>
      <c r="C10" s="2">
        <v>7.5</v>
      </c>
      <c r="J10" s="12"/>
      <c r="K10" s="13"/>
      <c r="L10" s="13"/>
      <c r="M10" s="13"/>
      <c r="N10" s="13"/>
      <c r="O10" s="14"/>
    </row>
    <row r="11" spans="2:15" x14ac:dyDescent="0.45">
      <c r="J11" s="12"/>
      <c r="K11" s="13"/>
      <c r="L11" s="13"/>
      <c r="M11" s="13"/>
      <c r="N11" s="13"/>
      <c r="O11" s="14"/>
    </row>
    <row r="12" spans="2:15" x14ac:dyDescent="0.45">
      <c r="B12" s="18" t="s">
        <v>14</v>
      </c>
      <c r="C12" s="18"/>
      <c r="D12" s="18"/>
      <c r="E12" s="18"/>
      <c r="F12" s="18"/>
      <c r="G12" s="18"/>
      <c r="H12" s="18"/>
      <c r="J12" s="12"/>
      <c r="K12" s="13"/>
      <c r="L12" s="13"/>
      <c r="M12" s="13"/>
      <c r="N12" s="13"/>
      <c r="O12" s="14"/>
    </row>
    <row r="13" spans="2:15" x14ac:dyDescent="0.45">
      <c r="J13" s="12"/>
      <c r="K13" s="13"/>
      <c r="L13" s="13"/>
      <c r="M13" s="13"/>
      <c r="N13" s="13"/>
      <c r="O13" s="14"/>
    </row>
    <row r="14" spans="2:15" x14ac:dyDescent="0.45">
      <c r="B14" s="4" t="s">
        <v>3</v>
      </c>
      <c r="C14" s="7">
        <f>ACOS(COS(RADIANS(90-C4)) *COS(RADIANS(90-G4)) +SIN(RADIANS(90-C4)) *SIN(RADIANS(90-G4)) *COS(RADIANS(D4-H4))) *6371</f>
        <v>23.185502879040783</v>
      </c>
      <c r="J14" s="12"/>
      <c r="K14" s="13"/>
      <c r="L14" s="13"/>
      <c r="M14" s="13"/>
      <c r="N14" s="13"/>
      <c r="O14" s="14"/>
    </row>
    <row r="15" spans="2:15" x14ac:dyDescent="0.45">
      <c r="J15" s="12"/>
      <c r="K15" s="13"/>
      <c r="L15" s="13"/>
      <c r="M15" s="13"/>
      <c r="N15" s="13"/>
      <c r="O15" s="14"/>
    </row>
    <row r="16" spans="2:15" x14ac:dyDescent="0.45">
      <c r="B16" s="4" t="s">
        <v>10</v>
      </c>
      <c r="C16" s="8">
        <f>MOD(ATAN2(COS(RADIANS(G4))*SIN(RADIANS(C4))-SIN(RADIANS(G4))*COS(RADIANS(C4))*COS(RADIANS(D4-H4)),SIN(RADIANS(D4-H4))*COS(RADIANS(C4)))*180/PI()+360,360)</f>
        <v>80.485867718653253</v>
      </c>
      <c r="J16" s="12"/>
      <c r="K16" s="13"/>
      <c r="L16" s="13"/>
      <c r="M16" s="13"/>
      <c r="N16" s="13"/>
      <c r="O16" s="14"/>
    </row>
    <row r="17" spans="2:15" ht="14.65" thickBot="1" x14ac:dyDescent="0.5">
      <c r="C17" s="6"/>
      <c r="J17" s="15"/>
      <c r="K17" s="16"/>
      <c r="L17" s="16"/>
      <c r="M17" s="16"/>
      <c r="N17" s="16"/>
      <c r="O17" s="17"/>
    </row>
    <row r="18" spans="2:15" x14ac:dyDescent="0.45">
      <c r="B18" s="4" t="s">
        <v>11</v>
      </c>
      <c r="C18" s="8">
        <f>MOD(ATAN2(COS(RADIANS(C4))*SIN(RADIANS(G4))-SIN(RADIANS(C4))*COS(RADIANS(G4))*COS(RADIANS(H4-D4)),SIN(RADIANS(H4-D4))*COS(RADIANS(G4)))*180/PI()+360,360)</f>
        <v>260.44474771774549</v>
      </c>
    </row>
    <row r="20" spans="2:15" x14ac:dyDescent="0.45">
      <c r="B20" s="4" t="s">
        <v>13</v>
      </c>
      <c r="C20" s="8">
        <f>20*LOG10(C14*C10)+92.45</f>
        <v>137.25555566602148</v>
      </c>
    </row>
    <row r="22" spans="2:15" x14ac:dyDescent="0.45">
      <c r="B22" s="4" t="s">
        <v>12</v>
      </c>
      <c r="C22" s="8">
        <f>C8+C6+G6-C20</f>
        <v>-97.255555666021479</v>
      </c>
    </row>
    <row r="24" spans="2:15" x14ac:dyDescent="0.45">
      <c r="B24" s="3"/>
    </row>
  </sheetData>
  <mergeCells count="2">
    <mergeCell ref="B2:H2"/>
    <mergeCell ref="B12:H12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Tx Microwave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TeleworX</dc:creator>
  <cp:lastModifiedBy>Sergio</cp:lastModifiedBy>
  <dcterms:created xsi:type="dcterms:W3CDTF">2020-02-15T20:02:38Z</dcterms:created>
  <dcterms:modified xsi:type="dcterms:W3CDTF">2020-09-02T16:46:24Z</dcterms:modified>
</cp:coreProperties>
</file>