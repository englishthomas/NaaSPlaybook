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gio\Documents\TeleworX_2020\PlayBook\NaaSRunBook\Widgets\TX &amp; IP Architecture\"/>
    </mc:Choice>
  </mc:AlternateContent>
  <xr:revisionPtr revIDLastSave="0" documentId="13_ncr:1_{7D81197D-0889-4FE9-AAE6-4B50BAEA3950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IP Planning" sheetId="2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25" l="1"/>
  <c r="C18" i="25" s="1"/>
  <c r="C17" i="25"/>
  <c r="C16" i="25" l="1"/>
  <c r="C15" i="25"/>
</calcChain>
</file>

<file path=xl/sharedStrings.xml><?xml version="1.0" encoding="utf-8"?>
<sst xmlns="http://schemas.openxmlformats.org/spreadsheetml/2006/main" count="77" uniqueCount="43">
  <si>
    <t>No</t>
  </si>
  <si>
    <t>Yes</t>
  </si>
  <si>
    <t>Private Segment</t>
  </si>
  <si>
    <t>10.0.0.0/8</t>
  </si>
  <si>
    <t>172.16.0.0/12</t>
  </si>
  <si>
    <t>192.168.0.0/16</t>
  </si>
  <si>
    <t>Private Segments</t>
  </si>
  <si>
    <t>eNodeBs</t>
  </si>
  <si>
    <t>Options</t>
  </si>
  <si>
    <t>Microwave Radios</t>
  </si>
  <si>
    <t>Other</t>
  </si>
  <si>
    <t>Core Elements</t>
  </si>
  <si>
    <t>Tx Routers</t>
  </si>
  <si>
    <t>Select the elements that required addressing:</t>
  </si>
  <si>
    <t>Number of Geographic Regions:</t>
  </si>
  <si>
    <t>Zone</t>
  </si>
  <si>
    <t>Range</t>
  </si>
  <si>
    <t>Zone 1</t>
  </si>
  <si>
    <t>Zone 2</t>
  </si>
  <si>
    <t>Zone 3</t>
  </si>
  <si>
    <t>Zone 4</t>
  </si>
  <si>
    <t>Type of Element</t>
  </si>
  <si>
    <t>Number of bits for elements:</t>
  </si>
  <si>
    <t>Number of bits for Zones:</t>
  </si>
  <si>
    <t>Number of defined segments:</t>
  </si>
  <si>
    <t xml:space="preserve">Mask Length for defined segments: </t>
  </si>
  <si>
    <t>10.0.0.0/12</t>
  </si>
  <si>
    <t>10.16.0.0/12</t>
  </si>
  <si>
    <t>10.32.0.0/12</t>
  </si>
  <si>
    <t>10.48.0.0/12</t>
  </si>
  <si>
    <t>10.64.0.0/12</t>
  </si>
  <si>
    <t>10.80.0.0/12</t>
  </si>
  <si>
    <t>10.96.0.0/12</t>
  </si>
  <si>
    <t>10.112.0.0/12</t>
  </si>
  <si>
    <t>10.128.0.0/12</t>
  </si>
  <si>
    <t>10.144.0.0/12</t>
  </si>
  <si>
    <t>10.160.0.0/12</t>
  </si>
  <si>
    <t>10.192.0.0/12</t>
  </si>
  <si>
    <t>10.208.0.0/12</t>
  </si>
  <si>
    <t>10.224.0.0/12</t>
  </si>
  <si>
    <t>10.176.0.0/12</t>
  </si>
  <si>
    <t>10.240.0.0/12</t>
  </si>
  <si>
    <t>High Level IP Distribution Plan Widget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</si>
</sst>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left" indent="1"/>
    </xf>
    <xf numFmtId="0" fontId="0" fillId="4" borderId="1" xfId="0" applyNumberForma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0" fillId="3" borderId="1" xfId="0" applyNumberFormat="1" applyFill="1" applyBorder="1" applyAlignment="1">
      <alignment horizontal="center"/>
    </xf>
    <xf numFmtId="49" fontId="0" fillId="0" borderId="0" xfId="0" applyNumberFormat="1"/>
    <xf numFmtId="0" fontId="3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3114675</xdr:colOff>
          <xdr:row>18</xdr:row>
          <xdr:rowOff>9525</xdr:rowOff>
        </xdr:from>
        <xdr:to>
          <xdr:col>4</xdr:col>
          <xdr:colOff>9525</xdr:colOff>
          <xdr:row>20</xdr:row>
          <xdr:rowOff>66675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IP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O40"/>
  <sheetViews>
    <sheetView showGridLines="0" tabSelected="1" zoomScale="85" zoomScaleNormal="85" workbookViewId="0">
      <selection activeCell="E11" sqref="E11"/>
    </sheetView>
  </sheetViews>
  <sheetFormatPr defaultColWidth="10.6640625" defaultRowHeight="14.25" outlineLevelRow="1" x14ac:dyDescent="0.45"/>
  <cols>
    <col min="2" max="2" width="47.1328125" customWidth="1"/>
    <col min="6" max="6" width="13.1328125" customWidth="1"/>
    <col min="7" max="9" width="23.265625" customWidth="1"/>
    <col min="10" max="10" width="13.1328125" customWidth="1"/>
  </cols>
  <sheetData>
    <row r="2" spans="2:15" x14ac:dyDescent="0.45">
      <c r="B2" s="22" t="s">
        <v>42</v>
      </c>
      <c r="C2" s="22"/>
      <c r="D2" s="22"/>
      <c r="E2" s="22"/>
      <c r="F2" s="22"/>
      <c r="G2" s="22"/>
      <c r="H2" s="22"/>
    </row>
    <row r="3" spans="2:15" ht="14.65" thickBot="1" x14ac:dyDescent="0.5">
      <c r="C3" s="4"/>
      <c r="D3" s="4"/>
    </row>
    <row r="4" spans="2:15" x14ac:dyDescent="0.45">
      <c r="B4" s="3" t="s">
        <v>2</v>
      </c>
      <c r="C4" s="23" t="s">
        <v>3</v>
      </c>
      <c r="D4" s="23"/>
      <c r="F4" s="6"/>
      <c r="G4" s="7"/>
      <c r="H4" s="7"/>
      <c r="I4" s="7"/>
      <c r="J4" s="8"/>
      <c r="L4" s="2"/>
      <c r="O4" s="10"/>
    </row>
    <row r="5" spans="2:15" outlineLevel="1" x14ac:dyDescent="0.45">
      <c r="F5" s="9"/>
      <c r="G5" s="19" t="s">
        <v>21</v>
      </c>
      <c r="H5" s="19" t="s">
        <v>15</v>
      </c>
      <c r="I5" s="19" t="s">
        <v>16</v>
      </c>
      <c r="J5" s="10"/>
      <c r="O5" s="10"/>
    </row>
    <row r="6" spans="2:15" outlineLevel="1" x14ac:dyDescent="0.45">
      <c r="B6" s="3" t="s">
        <v>13</v>
      </c>
      <c r="F6" s="9">
        <v>1</v>
      </c>
      <c r="G6" s="16" t="s">
        <v>7</v>
      </c>
      <c r="H6" s="16" t="s">
        <v>17</v>
      </c>
      <c r="I6" s="16" t="s">
        <v>26</v>
      </c>
      <c r="J6" s="10"/>
      <c r="O6" s="10"/>
    </row>
    <row r="7" spans="2:15" x14ac:dyDescent="0.45">
      <c r="B7" s="17" t="s">
        <v>7</v>
      </c>
      <c r="C7" s="15" t="s">
        <v>1</v>
      </c>
      <c r="F7" s="9">
        <v>2</v>
      </c>
      <c r="G7" s="16" t="s">
        <v>7</v>
      </c>
      <c r="H7" s="16" t="s">
        <v>18</v>
      </c>
      <c r="I7" s="16" t="s">
        <v>27</v>
      </c>
      <c r="J7" s="10"/>
      <c r="O7" s="10"/>
    </row>
    <row r="8" spans="2:15" x14ac:dyDescent="0.45">
      <c r="B8" s="17" t="s">
        <v>12</v>
      </c>
      <c r="C8" s="15" t="s">
        <v>1</v>
      </c>
      <c r="F8" s="9">
        <v>3</v>
      </c>
      <c r="G8" s="16" t="s">
        <v>7</v>
      </c>
      <c r="H8" s="16" t="s">
        <v>19</v>
      </c>
      <c r="I8" s="16" t="s">
        <v>28</v>
      </c>
      <c r="J8" s="10"/>
      <c r="O8" s="10"/>
    </row>
    <row r="9" spans="2:15" x14ac:dyDescent="0.45">
      <c r="B9" s="17" t="s">
        <v>9</v>
      </c>
      <c r="C9" s="15" t="s">
        <v>1</v>
      </c>
      <c r="F9" s="9">
        <v>4</v>
      </c>
      <c r="G9" s="16" t="s">
        <v>7</v>
      </c>
      <c r="H9" s="16" t="s">
        <v>20</v>
      </c>
      <c r="I9" s="16" t="s">
        <v>29</v>
      </c>
      <c r="J9" s="10"/>
      <c r="O9" s="10"/>
    </row>
    <row r="10" spans="2:15" x14ac:dyDescent="0.45">
      <c r="B10" s="17" t="s">
        <v>11</v>
      </c>
      <c r="C10" s="15" t="s">
        <v>1</v>
      </c>
      <c r="F10" s="9">
        <v>5</v>
      </c>
      <c r="G10" s="16" t="s">
        <v>12</v>
      </c>
      <c r="H10" s="16" t="s">
        <v>17</v>
      </c>
      <c r="I10" s="16" t="s">
        <v>30</v>
      </c>
      <c r="J10" s="10"/>
      <c r="O10" s="10"/>
    </row>
    <row r="11" spans="2:15" outlineLevel="1" x14ac:dyDescent="0.45">
      <c r="B11" s="17" t="s">
        <v>10</v>
      </c>
      <c r="C11" s="15" t="s">
        <v>0</v>
      </c>
      <c r="F11" s="9">
        <v>6</v>
      </c>
      <c r="G11" s="16" t="s">
        <v>12</v>
      </c>
      <c r="H11" s="16" t="s">
        <v>18</v>
      </c>
      <c r="I11" s="16" t="s">
        <v>31</v>
      </c>
      <c r="J11" s="10"/>
      <c r="O11" s="10"/>
    </row>
    <row r="12" spans="2:15" outlineLevel="1" x14ac:dyDescent="0.45">
      <c r="F12" s="9">
        <v>7</v>
      </c>
      <c r="G12" s="16" t="s">
        <v>12</v>
      </c>
      <c r="H12" s="16" t="s">
        <v>19</v>
      </c>
      <c r="I12" s="16" t="s">
        <v>32</v>
      </c>
      <c r="J12" s="10"/>
      <c r="O12" s="10"/>
    </row>
    <row r="13" spans="2:15" outlineLevel="1" x14ac:dyDescent="0.45">
      <c r="B13" s="3" t="s">
        <v>14</v>
      </c>
      <c r="C13" s="18">
        <f>4</f>
        <v>4</v>
      </c>
      <c r="F13" s="9">
        <v>8</v>
      </c>
      <c r="G13" s="16" t="s">
        <v>12</v>
      </c>
      <c r="H13" s="16" t="s">
        <v>20</v>
      </c>
      <c r="I13" s="16" t="s">
        <v>33</v>
      </c>
      <c r="J13" s="10"/>
      <c r="O13" s="10"/>
    </row>
    <row r="14" spans="2:15" outlineLevel="1" x14ac:dyDescent="0.45">
      <c r="F14" s="9">
        <v>9</v>
      </c>
      <c r="G14" s="16" t="s">
        <v>9</v>
      </c>
      <c r="H14" s="16" t="s">
        <v>17</v>
      </c>
      <c r="I14" s="16" t="s">
        <v>34</v>
      </c>
      <c r="J14" s="10"/>
      <c r="O14" s="10"/>
    </row>
    <row r="15" spans="2:15" x14ac:dyDescent="0.45">
      <c r="B15" t="s">
        <v>24</v>
      </c>
      <c r="C15" s="5">
        <f>COUNTIF($C$7:$C$11,"Yes")*$C$13</f>
        <v>16</v>
      </c>
      <c r="F15" s="9">
        <v>10</v>
      </c>
      <c r="G15" s="16" t="s">
        <v>9</v>
      </c>
      <c r="H15" s="16" t="s">
        <v>18</v>
      </c>
      <c r="I15" s="16" t="s">
        <v>35</v>
      </c>
      <c r="J15" s="10"/>
      <c r="O15" s="10"/>
    </row>
    <row r="16" spans="2:15" x14ac:dyDescent="0.45">
      <c r="B16" t="s">
        <v>25</v>
      </c>
      <c r="C16" s="5">
        <f>8+SUM($C17:C$18)</f>
        <v>12</v>
      </c>
      <c r="F16" s="9">
        <v>11</v>
      </c>
      <c r="G16" s="16" t="s">
        <v>9</v>
      </c>
      <c r="H16" s="16" t="s">
        <v>19</v>
      </c>
      <c r="I16" s="16" t="s">
        <v>36</v>
      </c>
      <c r="J16" s="10"/>
      <c r="O16" s="10"/>
    </row>
    <row r="17" spans="2:15" x14ac:dyDescent="0.45">
      <c r="B17" t="s">
        <v>22</v>
      </c>
      <c r="C17" s="20">
        <f>ROUNDUP(LOG(COUNTIF($C$7:$C$11,"Yes"),2),0)</f>
        <v>2</v>
      </c>
      <c r="F17" s="9">
        <v>12</v>
      </c>
      <c r="G17" s="16" t="s">
        <v>9</v>
      </c>
      <c r="H17" s="16" t="s">
        <v>20</v>
      </c>
      <c r="I17" s="16" t="s">
        <v>40</v>
      </c>
      <c r="J17" s="10"/>
      <c r="O17" s="10"/>
    </row>
    <row r="18" spans="2:15" x14ac:dyDescent="0.45">
      <c r="B18" t="s">
        <v>23</v>
      </c>
      <c r="C18" s="5">
        <f>ROUNDUP(LOG($C$13,2),0)</f>
        <v>2</v>
      </c>
      <c r="F18" s="9">
        <v>13</v>
      </c>
      <c r="G18" s="16" t="s">
        <v>11</v>
      </c>
      <c r="H18" s="16" t="s">
        <v>17</v>
      </c>
      <c r="I18" s="16" t="s">
        <v>37</v>
      </c>
      <c r="J18" s="10"/>
      <c r="O18" s="10"/>
    </row>
    <row r="19" spans="2:15" outlineLevel="1" x14ac:dyDescent="0.45">
      <c r="F19" s="9">
        <v>14</v>
      </c>
      <c r="G19" s="16" t="s">
        <v>11</v>
      </c>
      <c r="H19" s="16" t="s">
        <v>18</v>
      </c>
      <c r="I19" s="16" t="s">
        <v>38</v>
      </c>
      <c r="J19" s="10"/>
      <c r="O19" s="10"/>
    </row>
    <row r="20" spans="2:15" outlineLevel="1" x14ac:dyDescent="0.45">
      <c r="F20" s="9">
        <v>15</v>
      </c>
      <c r="G20" s="16" t="s">
        <v>11</v>
      </c>
      <c r="H20" s="16" t="s">
        <v>19</v>
      </c>
      <c r="I20" s="16" t="s">
        <v>39</v>
      </c>
      <c r="J20" s="10"/>
      <c r="O20" s="10"/>
    </row>
    <row r="21" spans="2:15" outlineLevel="1" x14ac:dyDescent="0.45">
      <c r="F21" s="9">
        <v>16</v>
      </c>
      <c r="G21" s="16" t="s">
        <v>11</v>
      </c>
      <c r="H21" s="16" t="s">
        <v>20</v>
      </c>
      <c r="I21" s="16" t="s">
        <v>41</v>
      </c>
      <c r="J21" s="10"/>
      <c r="O21" s="10"/>
    </row>
    <row r="22" spans="2:15" outlineLevel="1" x14ac:dyDescent="0.45">
      <c r="F22" s="9">
        <v>17</v>
      </c>
      <c r="G22" s="16"/>
      <c r="H22" s="16"/>
      <c r="I22" s="16"/>
      <c r="J22" s="10"/>
      <c r="O22" s="10"/>
    </row>
    <row r="23" spans="2:15" outlineLevel="1" x14ac:dyDescent="0.45">
      <c r="B23" s="4"/>
      <c r="C23" s="21"/>
      <c r="F23" s="9">
        <v>18</v>
      </c>
      <c r="G23" s="16"/>
      <c r="H23" s="16"/>
      <c r="I23" s="16"/>
      <c r="J23" s="10"/>
      <c r="O23" s="10"/>
    </row>
    <row r="24" spans="2:15" outlineLevel="1" x14ac:dyDescent="0.45">
      <c r="B24" s="4"/>
      <c r="F24" s="9">
        <v>19</v>
      </c>
      <c r="G24" s="16"/>
      <c r="H24" s="16"/>
      <c r="I24" s="16"/>
      <c r="J24" s="10"/>
      <c r="O24" s="10"/>
    </row>
    <row r="25" spans="2:15" x14ac:dyDescent="0.45">
      <c r="B25" s="4"/>
      <c r="F25" s="9">
        <v>20</v>
      </c>
      <c r="G25" s="16"/>
      <c r="H25" s="16"/>
      <c r="I25" s="16"/>
      <c r="J25" s="10"/>
      <c r="O25" s="10"/>
    </row>
    <row r="26" spans="2:15" x14ac:dyDescent="0.45">
      <c r="F26" s="9">
        <v>21</v>
      </c>
      <c r="G26" s="16"/>
      <c r="H26" s="16"/>
      <c r="I26" s="16"/>
      <c r="J26" s="10"/>
      <c r="O26" s="10"/>
    </row>
    <row r="27" spans="2:15" x14ac:dyDescent="0.45">
      <c r="F27" s="9">
        <v>22</v>
      </c>
      <c r="G27" s="16"/>
      <c r="H27" s="16"/>
      <c r="I27" s="16"/>
      <c r="J27" s="10"/>
    </row>
    <row r="28" spans="2:15" x14ac:dyDescent="0.45">
      <c r="F28" s="9">
        <v>23</v>
      </c>
      <c r="G28" s="16"/>
      <c r="H28" s="16"/>
      <c r="I28" s="16"/>
      <c r="J28" s="10"/>
    </row>
    <row r="29" spans="2:15" x14ac:dyDescent="0.45">
      <c r="F29" s="9">
        <v>24</v>
      </c>
      <c r="G29" s="16"/>
      <c r="H29" s="16"/>
      <c r="I29" s="16"/>
      <c r="J29" s="10"/>
    </row>
    <row r="30" spans="2:15" x14ac:dyDescent="0.45">
      <c r="F30" s="9">
        <v>25</v>
      </c>
      <c r="G30" s="16"/>
      <c r="H30" s="16"/>
      <c r="I30" s="16"/>
      <c r="J30" s="10"/>
    </row>
    <row r="31" spans="2:15" ht="14.65" thickBot="1" x14ac:dyDescent="0.5">
      <c r="F31" s="11"/>
      <c r="G31" s="12"/>
      <c r="H31" s="12"/>
      <c r="I31" s="12"/>
      <c r="J31" s="13"/>
    </row>
    <row r="37" spans="2:4" x14ac:dyDescent="0.45">
      <c r="B37" s="1" t="s">
        <v>6</v>
      </c>
      <c r="D37" s="1" t="s">
        <v>8</v>
      </c>
    </row>
    <row r="38" spans="2:4" x14ac:dyDescent="0.45">
      <c r="B38" s="14" t="s">
        <v>3</v>
      </c>
      <c r="D38" s="14" t="s">
        <v>1</v>
      </c>
    </row>
    <row r="39" spans="2:4" x14ac:dyDescent="0.45">
      <c r="B39" s="14" t="s">
        <v>4</v>
      </c>
      <c r="D39" s="14" t="s">
        <v>0</v>
      </c>
    </row>
    <row r="40" spans="2:4" x14ac:dyDescent="0.45">
      <c r="B40" s="15" t="s">
        <v>5</v>
      </c>
    </row>
  </sheetData>
  <mergeCells count="2">
    <mergeCell ref="B2:H2"/>
    <mergeCell ref="C4:D4"/>
  </mergeCells>
  <dataValidations count="2">
    <dataValidation type="list" allowBlank="1" showInputMessage="1" showErrorMessage="1" sqref="C4:D4" xr:uid="{00000000-0002-0000-0500-000000000000}">
      <formula1>$B$38:$B$40</formula1>
    </dataValidation>
    <dataValidation type="list" allowBlank="1" showInputMessage="1" showErrorMessage="1" sqref="C7:C11" xr:uid="{00000000-0002-0000-0500-000001000000}">
      <formula1>$D$38:$D$39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IP_Plan_Generation">
                <anchor moveWithCells="1" sizeWithCells="1">
                  <from>
                    <xdr:col>1</xdr:col>
                    <xdr:colOff>3114675</xdr:colOff>
                    <xdr:row>18</xdr:row>
                    <xdr:rowOff>9525</xdr:rowOff>
                  </from>
                  <to>
                    <xdr:col>4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IP 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TeleworX</dc:creator>
  <cp:lastModifiedBy>Sergio</cp:lastModifiedBy>
  <dcterms:created xsi:type="dcterms:W3CDTF">2020-02-15T20:02:38Z</dcterms:created>
  <dcterms:modified xsi:type="dcterms:W3CDTF">2020-09-02T16:30:47Z</dcterms:modified>
</cp:coreProperties>
</file>